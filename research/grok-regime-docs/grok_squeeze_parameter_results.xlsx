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9.xml.rels" ContentType="application/vnd.openxmlformats-package.relationships+xml"/>
  <Override PartName="/xl/worksheets/_rels/sheet6.xml.rels" ContentType="application/vnd.openxmlformats-package.relationships+xml"/>
  <Override PartName="/xl/worksheets/_rels/sheet8.xml.rels" ContentType="application/vnd.openxmlformats-package.relationships+xml"/>
  <Override PartName="/xl/worksheets/_rels/sheet5.xml.rels" ContentType="application/vnd.openxmlformats-package.relationships+xml"/>
  <Override PartName="/xl/worksheets/_rels/sheet7.xml.rels" ContentType="application/vnd.openxmlformats-package.relationships+xml"/>
  <Override PartName="/xl/worksheets/_rels/sheet1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2"/>
    <sheet name="Knobs" sheetId="2" state="visible" r:id="rId3"/>
    <sheet name="SOL grid 4h" sheetId="3" state="visible" r:id="rId4"/>
    <sheet name="ETH grid 4h" sheetId="4" state="visible" r:id="rId5"/>
    <sheet name="Level breaks" sheetId="5" state="visible" r:id="rId6"/>
    <sheet name="Window check" sheetId="6" state="visible" r:id="rId7"/>
    <sheet name="Knob sweep" sheetId="7" state="visible" r:id="rId8"/>
    <sheet name="Extension stub" sheetId="8" state="visible" r:id="rId9"/>
    <sheet name="Coin queue" sheetId="9" state="visible" r:id="rId10"/>
  </sheets>
  <definedNames>
    <definedName function="false" hidden="false" localSheetId="8" name="_xlnm.Print_Titles" vbProcedure="false">'Coin queue'!$1:$4</definedName>
    <definedName function="false" hidden="true" localSheetId="8" name="_xlnm._FilterDatabase" vbProcedure="false">'Coin queue'!$A$4:$G$20</definedName>
    <definedName function="false" hidden="false" localSheetId="3" name="_xlnm.Print_Titles" vbProcedure="false">'ETH grid 4h'!$1:$4</definedName>
    <definedName function="false" hidden="true" localSheetId="3" name="_xlnm._FilterDatabase" vbProcedure="false">'ETH grid 4h'!$A$4:$L$12</definedName>
    <definedName function="false" hidden="false" localSheetId="7" name="_xlnm.Print_Titles" vbProcedure="false">'Extension stub'!$1:$4</definedName>
    <definedName function="false" hidden="true" localSheetId="7" name="_xlnm._FilterDatabase" vbProcedure="false">'Extension stub'!$A$4:$J$28</definedName>
    <definedName function="false" hidden="false" localSheetId="6" name="_xlnm.Print_Titles" vbProcedure="false">'Knob sweep'!$1:$4</definedName>
    <definedName function="false" hidden="true" localSheetId="6" name="_xlnm._FilterDatabase" vbProcedure="false">'Knob sweep'!$A$4:$K$148</definedName>
    <definedName function="false" hidden="false" localSheetId="1" name="_xlnm.Print_Titles" vbProcedure="false">Knobs!$1:$5</definedName>
    <definedName function="false" hidden="true" localSheetId="1" name="_xlnm._FilterDatabase" vbProcedure="false">Knobs!$A$5:$F$19</definedName>
    <definedName function="false" hidden="false" localSheetId="4" name="_xlnm.Print_Titles" vbProcedure="false">'Level breaks'!$1:$4</definedName>
    <definedName function="false" hidden="true" localSheetId="4" name="_xlnm._FilterDatabase" vbProcedure="false">'Level breaks'!$A$4:$K$9</definedName>
    <definedName function="false" hidden="false" localSheetId="0" name="_xlnm.Print_Titles" vbProcedure="false">'Read me'!$1:$4</definedName>
    <definedName function="false" hidden="true" localSheetId="0" name="_xlnm._FilterDatabase" vbProcedure="false">'Read me'!$A$15:$C$24</definedName>
    <definedName function="false" hidden="false" localSheetId="2" name="_xlnm.Print_Titles" vbProcedure="false">'SOL grid 4h'!$1:$4</definedName>
    <definedName function="false" hidden="true" localSheetId="2" name="_xlnm._FilterDatabase" vbProcedure="false">'SOL grid 4h'!$A$4:$L$12</definedName>
    <definedName function="false" hidden="false" localSheetId="5" name="_xlnm.Print_Titles" vbProcedure="false">'Window check'!$1:$4</definedName>
    <definedName function="false" hidden="true" localSheetId="5" name="_xlnm._FilterDatabase" vbProcedure="false">'Window check'!$A$4:$G$68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<sst xmlns="http://schemas.openxmlformats.org/spreadsheetml/2006/main" count="1085" uniqueCount="322">
  <si>
    <t xml:space="preserve">Squeeze study — parameter &amp; result book</t>
  </si>
  <si>
    <t xml:space="preserve">Built 2026-09-30 from the session archive. Not a fresh Coinalyze pull. OI changes are in contracts.</t>
  </si>
  <si>
    <t xml:space="preserve">Section</t>
  </si>
  <si>
    <t xml:space="preserve">Read this first</t>
  </si>
  <si>
    <t xml:space="preserve">What this file is</t>
  </si>
  <si>
    <t xml:space="preserve">A scoreboard of every Grid cell and level-break rule that was actually graded on SOL and ETH, plus a knob grid for the tunings that were scanned (window, hot funding, flush, perp ratio, surge) and a stub for the 10/15/20% extension entries that were never run.</t>
  </si>
  <si>
    <t xml:space="preserve">What this file is not</t>
  </si>
  <si>
    <t xml:space="preserve">It is not an optimizer output. Hot/flush/perp/surge barely moved SOL cells on the ~83-day tape. Those rows are marked NOTE, not MEASURED-EDGE. Do not treat a yellow cell as a live alert.</t>
  </si>
  <si>
    <t xml:space="preserve">Objective used in the measured rows</t>
  </si>
  <si>
    <t xml:space="preserve">Grid cells: next 24h raw price change after the hourly sample (not arrow-aligned unless noted). Level-breaks: next 24h net of 0.1% round-trip, entered 8h after first touch of prior-day high/low, OI in contracts.</t>
  </si>
  <si>
    <t xml:space="preserve">Baseline</t>
  </si>
  <si>
    <t xml:space="preserve">Price-only prior-day high/low breaks closed beyond the level ~48–54% (BTC ~2,900 breaks; SOL ~330). Grid cells have no published unflagged-hourly baseline in the archive — treat the coin-flip band as the only honest floor until the collector fills it.</t>
  </si>
  <si>
    <t xml:space="preserve">How to use it</t>
  </si>
  <si>
    <t xml:space="preserve">Blue text = input you can overwrite when a new run lands. Black formulas recompute pooled means and vs-baseline gaps. Yellow = needs a new measurement. Green fill = Grid arrow and next-24h sign agreed. Red fill = Grid arrow lost.</t>
  </si>
  <si>
    <t xml:space="preserve">Still blocked</t>
  </si>
  <si>
    <t xml:space="preserve">No Coinalyze key in this workspace. UUID pasted earlier was rejected. Fresh 1h/4h/8h/24h retune of SOL cannot be computed here. Fill the Knob sweep sheet when the collector backfill runs.</t>
  </si>
  <si>
    <t xml:space="preserve">Promotion rule (do not skip)</t>
  </si>
  <si>
    <t xml:space="preserve">A cell or break rule becomes an alert only if it beats unflagged baseline on BOTH halves of the sample, on ≥5 coins, after fees, with the same arrow. trading.enabled stays false until that bar is cleared.</t>
  </si>
  <si>
    <t xml:space="preserve">Sheet</t>
  </si>
  <si>
    <t xml:space="preserve">What is on it</t>
  </si>
  <si>
    <t xml:space="preserve">Status</t>
  </si>
  <si>
    <t xml:space="preserve">Read me</t>
  </si>
  <si>
    <t xml:space="preserve">How to read the book and what is still missing</t>
  </si>
  <si>
    <t xml:space="preserve">—</t>
  </si>
  <si>
    <t xml:space="preserve">Knobs</t>
  </si>
  <si>
    <t xml:space="preserve">Default config and the scan ranges from the archive</t>
  </si>
  <si>
    <t xml:space="preserve">defaults</t>
  </si>
  <si>
    <t xml:space="preserve">SOL grid 4h</t>
  </si>
  <si>
    <t xml:space="preserve">Measured next-24h by cell on SOL, default knobs</t>
  </si>
  <si>
    <t xml:space="preserve">measured</t>
  </si>
  <si>
    <t xml:space="preserve">ETH grid 4h</t>
  </si>
  <si>
    <t xml:space="preserve">Same for ETH</t>
  </si>
  <si>
    <t xml:space="preserve">Level breaks</t>
  </si>
  <si>
    <t xml:space="preserve">First-touch + 8h OI rules, SOL and ETH</t>
  </si>
  <si>
    <t xml:space="preserve">Window check</t>
  </si>
  <si>
    <t xml:space="preserve">1h / 4h / 8h / 24h — only 8h shorts-fighting on SOL is extra-measured</t>
  </si>
  <si>
    <t xml:space="preserve">partial</t>
  </si>
  <si>
    <t xml:space="preserve">Knob sweep</t>
  </si>
  <si>
    <t xml:space="preserve">144 combos of window × hot × flush × perp × surge</t>
  </si>
  <si>
    <t xml:space="preserve">mostly empty</t>
  </si>
  <si>
    <t xml:space="preserve">Extension stub</t>
  </si>
  <si>
    <t xml:space="preserve">10 / 15 / 20% beyond prior-day H/L — not run</t>
  </si>
  <si>
    <t xml:space="preserve">empty</t>
  </si>
  <si>
    <t xml:space="preserve">Coin queue</t>
  </si>
  <si>
    <t xml:space="preserve">Kraken US 16 — what still needs the same Grid grade</t>
  </si>
  <si>
    <t xml:space="preserve">queue</t>
  </si>
  <si>
    <t xml:space="preserve">Blue numbers are inputs. Change them when a new run lands. Sweep ranges are what the archive actually scanned.</t>
  </si>
  <si>
    <t xml:space="preserve">Default (config.yaml)</t>
  </si>
  <si>
    <t xml:space="preserve">Knob</t>
  </si>
  <si>
    <t xml:space="preserve">Code name</t>
  </si>
  <si>
    <t xml:space="preserve">Default</t>
  </si>
  <si>
    <t xml:space="preserve">Unit</t>
  </si>
  <si>
    <t xml:space="preserve">What it does</t>
  </si>
  <si>
    <t xml:space="preserve">Did it move SOL cells?</t>
  </si>
  <si>
    <t xml:space="preserve">State window</t>
  </si>
  <si>
    <t xml:space="preserve">window_for_state</t>
  </si>
  <si>
    <t xml:space="preserve">4h</t>
  </si>
  <si>
    <t xml:space="preserve">hours</t>
  </si>
  <si>
    <t xml:space="preserve">Price × OI window that picks row A/B/C/D</t>
  </si>
  <si>
    <t xml:space="preserve">8h looked cleaner for shorts-fighting only</t>
  </si>
  <si>
    <t xml:space="preserve">Funding hot</t>
  </si>
  <si>
    <t xml:space="preserve">funding_hot_apr</t>
  </si>
  <si>
    <t xml:space="preserve">% / year</t>
  </si>
  <si>
    <t xml:space="preserve">Above this = hot column (longs paying)</t>
  </si>
  <si>
    <t xml:space="preserve">Barely. Funding already sat in the same bucket.</t>
  </si>
  <si>
    <t xml:space="preserve">Funding negative</t>
  </si>
  <si>
    <t xml:space="preserve">funding_neg_apr</t>
  </si>
  <si>
    <t xml:space="preserve">Below this = neg column (shorts paying)</t>
  </si>
  <si>
    <t xml:space="preserve">The only column that leaned the Grid's way</t>
  </si>
  <si>
    <t xml:space="preserve">Perp-led ratio</t>
  </si>
  <si>
    <t xml:space="preserve">perp_led_ratio</t>
  </si>
  <si>
    <t xml:space="preserve">× fut/spot</t>
  </si>
  <si>
    <t xml:space="preserve">≥ this = perp-led score column</t>
  </si>
  <si>
    <t xml:space="preserve">No. SOL futures stayed ≥5× spot.</t>
  </si>
  <si>
    <t xml:space="preserve">Weak move</t>
  </si>
  <si>
    <t xml:space="preserve">weak_move_pct</t>
  </si>
  <si>
    <t xml:space="preserve">%</t>
  </si>
  <si>
    <t xml:space="preserve">Ignore tiny price or OI wiggles</t>
  </si>
  <si>
    <t xml:space="preserve">Not isolated in the archive</t>
  </si>
  <si>
    <t xml:space="preserve">L/S crowded</t>
  </si>
  <si>
    <t xml:space="preserve">ls_crowded</t>
  </si>
  <si>
    <t xml:space="preserve">ratio</t>
  </si>
  <si>
    <t xml:space="preserve">LS ≥ 1.2 or ≤ 1/1.2 = crowded</t>
  </si>
  <si>
    <t xml:space="preserve">Not isolated</t>
  </si>
  <si>
    <t xml:space="preserve">Flush OI drop</t>
  </si>
  <si>
    <t xml:space="preserve">flush_oi_drop_pct</t>
  </si>
  <si>
    <t xml:space="preserve">Trigger needs OI down at least this much</t>
  </si>
  <si>
    <t xml:space="preserve">Barely. Bottom trigger n=1 on SOL.</t>
  </si>
  <si>
    <t xml:space="preserve">Surge multiple</t>
  </si>
  <si>
    <t xml:space="preserve">surge_multiple</t>
  </si>
  <si>
    <t xml:space="preserve">× 7d avg</t>
  </si>
  <si>
    <t xml:space="preserve">Trigger needs spot volume ≥ this × baseline</t>
  </si>
  <si>
    <t xml:space="preserve">Barely</t>
  </si>
  <si>
    <t xml:space="preserve">Min |score|</t>
  </si>
  <si>
    <t xml:space="preserve">min_abs_score</t>
  </si>
  <si>
    <t xml:space="preserve">points</t>
  </si>
  <si>
    <t xml:space="preserve">Alert if |grid score| ≥ this and intensity ≥ 40</t>
  </si>
  <si>
    <t xml:space="preserve">Alert rule, not a cell picker</t>
  </si>
  <si>
    <t xml:space="preserve">Min intensity</t>
  </si>
  <si>
    <t xml:space="preserve">min_intensity</t>
  </si>
  <si>
    <t xml:space="preserve">0–100</t>
  </si>
  <si>
    <t xml:space="preserve">Quiet / Watch / Act gate</t>
  </si>
  <si>
    <t xml:space="preserve">Alert rule</t>
  </si>
  <si>
    <t xml:space="preserve">Hit move</t>
  </si>
  <si>
    <t xml:space="preserve">hit_move_pct</t>
  </si>
  <si>
    <t xml:space="preserve">Hit if price first goes this far with the arrow inside 72h</t>
  </si>
  <si>
    <t xml:space="preserve">Used in a few cell hit rates</t>
  </si>
  <si>
    <t xml:space="preserve">Break OI rise</t>
  </si>
  <si>
    <t xml:space="preserve">break_oi_rise_pct</t>
  </si>
  <si>
    <t xml:space="preserve">% contracts / 8h</t>
  </si>
  <si>
    <t xml:space="preserve">High-break fade threshold</t>
  </si>
  <si>
    <t xml:space="preserve">Dose at &gt;3% was +0.75% on SOL, n=43</t>
  </si>
  <si>
    <t xml:space="preserve">Break OI flush</t>
  </si>
  <si>
    <t xml:space="preserve">break_oi_flush_pct</t>
  </si>
  <si>
    <t xml:space="preserve">Low-break continuation threshold</t>
  </si>
  <si>
    <t xml:space="preserve">Pooled +0.32%, n=120</t>
  </si>
  <si>
    <t xml:space="preserve">Taker fee (study)</t>
  </si>
  <si>
    <t xml:space="preserve">TAKER_FEE</t>
  </si>
  <si>
    <t xml:space="preserve">round trip</t>
  </si>
  <si>
    <t xml:space="preserve">Level-break net</t>
  </si>
  <si>
    <t xml:space="preserve">0.1% was assumed, not venue live</t>
  </si>
  <si>
    <t xml:space="preserve">Scan ranges actually walked on SOL/ETH Grid</t>
  </si>
  <si>
    <t xml:space="preserve">Values scanned</t>
  </si>
  <si>
    <t xml:space="preserve">Named range hint</t>
  </si>
  <si>
    <t xml:space="preserve">window</t>
  </si>
  <si>
    <t xml:space="preserve">1h, 4h, 8h, 24h</t>
  </si>
  <si>
    <t xml:space="preserve">Windows</t>
  </si>
  <si>
    <t xml:space="preserve">5, 10, 15</t>
  </si>
  <si>
    <t xml:space="preserve">HotCuts</t>
  </si>
  <si>
    <t xml:space="preserve">3, 5, 8</t>
  </si>
  <si>
    <t xml:space="preserve">FlushCuts</t>
  </si>
  <si>
    <t xml:space="preserve">3, 5</t>
  </si>
  <si>
    <t xml:space="preserve">PerpCuts</t>
  </si>
  <si>
    <t xml:space="preserve">1.2, 1.5</t>
  </si>
  <si>
    <t xml:space="preserve">SurgeCuts</t>
  </si>
  <si>
    <t xml:space="preserve">Combo count</t>
  </si>
  <si>
    <t xml:space="preserve">windows × hot × flush × perp × surge = rows on Knob sweep</t>
  </si>
  <si>
    <t xml:space="preserve">Named cells for formulas</t>
  </si>
  <si>
    <t xml:space="preserve">DefaultHot</t>
  </si>
  <si>
    <t xml:space="preserve">DefaultWindow</t>
  </si>
  <si>
    <t xml:space="preserve">SOL — default 4h Grid</t>
  </si>
  <si>
    <t xml:space="preserve">Tape: Coinalyze hourly, ~2,023 bars (~83 days), SOLUSDT_PERP.A + spot. Perp-led almost always. Next 24h is RAW price, not arrow-aligned. Source: squeeze-session-archive.md, 2026-09-30.</t>
  </si>
  <si>
    <t xml:space="preserve">Cell</t>
  </si>
  <si>
    <t xml:space="preserve">Name</t>
  </si>
  <si>
    <t xml:space="preserve">Flow used</t>
  </si>
  <si>
    <t xml:space="preserve">Grid score (perp)</t>
  </si>
  <si>
    <t xml:space="preserve">Grid arrow</t>
  </si>
  <si>
    <t xml:space="preserve">n</t>
  </si>
  <si>
    <t xml:space="preserve">Next 24h %</t>
  </si>
  <si>
    <t xml:space="preserve">Hit % (if logged)</t>
  </si>
  <si>
    <t xml:space="preserve">Arrow result</t>
  </si>
  <si>
    <t xml:space="preserve">Vs 0 (pp)</t>
  </si>
  <si>
    <t xml:space="preserve">Sample share</t>
  </si>
  <si>
    <t xml:space="preserve">Note</t>
  </si>
  <si>
    <t xml:space="preserve">A.hot</t>
  </si>
  <si>
    <t xml:space="preserve">Crowded longs</t>
  </si>
  <si>
    <t xml:space="preserve">perp</t>
  </si>
  <si>
    <t xml:space="preserve">fade / short</t>
  </si>
  <si>
    <t xml:space="preserve">lost</t>
  </si>
  <si>
    <t xml:space="preserve">Longs paid and price still rose. Fade lost.</t>
  </si>
  <si>
    <t xml:space="preserve">C.hot</t>
  </si>
  <si>
    <t xml:space="preserve">Cascade loading</t>
  </si>
  <si>
    <t xml:space="preserve">short</t>
  </si>
  <si>
    <t xml:space="preserve">Highest-risk short cell printed a bounce.</t>
  </si>
  <si>
    <t xml:space="preserve">B.hot</t>
  </si>
  <si>
    <t xml:space="preserve">Rally, no new money</t>
  </si>
  <si>
    <t xml:space="preserve">Best raw upside of the book — fade would have paid the crowd.</t>
  </si>
  <si>
    <t xml:space="preserve">D.hot</t>
  </si>
  <si>
    <t xml:space="preserve">Flush not finished</t>
  </si>
  <si>
    <t xml:space="preserve">wait / weak short</t>
  </si>
  <si>
    <t xml:space="preserve">weak</t>
  </si>
  <si>
    <t xml:space="preserve">Slight up, not a dump.</t>
  </si>
  <si>
    <t xml:space="preserve">A.neg</t>
  </si>
  <si>
    <t xml:space="preserve">Shorts fighting a rally</t>
  </si>
  <si>
    <t xml:space="preserve">long</t>
  </si>
  <si>
    <t xml:space="preserve">slight yes</t>
  </si>
  <si>
    <t xml:space="preserve">Only cell that leaned the Grid on 4h. Small.</t>
  </si>
  <si>
    <t xml:space="preserve">C.neg</t>
  </si>
  <si>
    <t xml:space="preserve">Shorts crowding in</t>
  </si>
  <si>
    <t xml:space="preserve">watch / mild long</t>
  </si>
  <si>
    <t xml:space="preserve">Mild, hit under 50%.</t>
  </si>
  <si>
    <t xml:space="preserve">B.neg</t>
  </si>
  <si>
    <t xml:space="preserve">Short squeeze in progress</t>
  </si>
  <si>
    <t xml:space="preserve">ride long</t>
  </si>
  <si>
    <t xml:space="preserve">Ride-it long lost.</t>
  </si>
  <si>
    <t xml:space="preserve">D.neg</t>
  </si>
  <si>
    <t xml:space="preserve">Capitulation</t>
  </si>
  <si>
    <t xml:space="preserve">Bounce failed. Needs funding + trigger, OI-down is not enough.</t>
  </si>
  <si>
    <t xml:space="preserve">TOTAL / weighted</t>
  </si>
  <si>
    <t xml:space="preserve">Weighted next-24h across graded cells (not a strategy P&amp;L).</t>
  </si>
  <si>
    <t xml:space="preserve">Read</t>
  </si>
  <si>
    <t xml:space="preserve">Every hot-column fade (A.hot, B.hot, C.hot) printed a POSITIVE next 24h. The Grid said short; price went up. Shorts-paying cells are the only ones that did not fight the Grid, and even those are small-n. If you only remember one SOL fact: do not fade crowded longs on this tape.</t>
  </si>
  <si>
    <t xml:space="preserve">8h extra (only cell that improved)</t>
  </si>
  <si>
    <t xml:space="preserve">Window</t>
  </si>
  <si>
    <t xml:space="preserve">Hit %</t>
  </si>
  <si>
    <t xml:space="preserve">Vs 4h same cell</t>
  </si>
  <si>
    <t xml:space="preserve">8h</t>
  </si>
  <si>
    <t xml:space="preserve">A.neg Shorts fighting a rally</t>
  </si>
  <si>
    <t xml:space="preserve">ETH — default 4h Grid</t>
  </si>
  <si>
    <t xml:space="preserve">Same scorer and knobs as SOL. Same warning: next 24h is raw price. Small-n on every shorts-paying cell.</t>
  </si>
  <si>
    <t xml:space="preserve">Fade lost again. Biggest cell by count.</t>
  </si>
  <si>
    <t xml:space="preserve">Flush did not finish down.</t>
  </si>
  <si>
    <t xml:space="preserve">Fade lost.</t>
  </si>
  <si>
    <t xml:space="preserve">Bounce, not dump.</t>
  </si>
  <si>
    <t xml:space="preserve">yes, small n</t>
  </si>
  <si>
    <t xml:space="preserve">Same sign as Grid. n=12 is not a rule.</t>
  </si>
  <si>
    <t xml:space="preserve">mild long</t>
  </si>
  <si>
    <t xml:space="preserve">mild yes</t>
  </si>
  <si>
    <t xml:space="preserve">Tiny n.</t>
  </si>
  <si>
    <t xml:space="preserve">n=7.</t>
  </si>
  <si>
    <t xml:space="preserve">No bounce.</t>
  </si>
  <si>
    <t xml:space="preserve">Same shape as SOL: hot-column shorts lost; A.neg is the only cell that looks like the Grid, and it is 12 observations. Do not promote A.neg off ETH alone.</t>
  </si>
  <si>
    <t xml:space="preserve">Level breaks — first touch of prior-day high/low</t>
  </si>
  <si>
    <t xml:space="preserve">4h bars, Oct 31 2025 → Sep 30 2026, ~600 breaks SOL+ETH, OI in CONTRACTS, enter 8h after the first break of the UTC day, hold 24h, net of 0.1% round trip. Price-only close-beyond baseline ≈ 48–54%.</t>
  </si>
  <si>
    <t xml:space="preserve">Rule</t>
  </si>
  <si>
    <t xml:space="preserve">Side</t>
  </si>
  <si>
    <t xml:space="preserve">OI 8h after</t>
  </si>
  <si>
    <t xml:space="preserve">Arrow</t>
  </si>
  <si>
    <t xml:space="preserve">SOL n</t>
  </si>
  <si>
    <t xml:space="preserve">SOL 24h net</t>
  </si>
  <si>
    <t xml:space="preserve">ETH n</t>
  </si>
  <si>
    <t xml:space="preserve">ETH 24h net</t>
  </si>
  <si>
    <t xml:space="preserve">Pooled 24h</t>
  </si>
  <si>
    <t xml:space="preserve">Win (if logged)</t>
  </si>
  <si>
    <t xml:space="preserve">Verdict</t>
  </si>
  <si>
    <t xml:space="preserve">Chase the break (crowd)</t>
  </si>
  <si>
    <t xml:space="preserve">high</t>
  </si>
  <si>
    <t xml:space="preserve">OI up</t>
  </si>
  <si>
    <t xml:space="preserve">long the break</t>
  </si>
  <si>
    <t xml:space="preserve">Losing trade. Clearest result in the dataset.</t>
  </si>
  <si>
    <t xml:space="preserve">Breakout chase fade (A.hot on a breakout)</t>
  </si>
  <si>
    <t xml:space="preserve">OI up ≥2% (dose &gt;3% also logged)</t>
  </si>
  <si>
    <t xml:space="preserve">Surviving lead. Same sign both coins. Promote only after ≥5 coins + both halves.</t>
  </si>
  <si>
    <t xml:space="preserve">Flush continuation (D-row at 24h)</t>
  </si>
  <si>
    <t xml:space="preserve">low</t>
  </si>
  <si>
    <t xml:space="preserve">OI down ≥1%</t>
  </si>
  <si>
    <t xml:space="preserve">Flushed longs did not bounce inside 24h. Continuation, not capitulation.</t>
  </si>
  <si>
    <t xml:space="preserve">Low break + new shorts → long</t>
  </si>
  <si>
    <t xml:space="preserve">Dropped. ETH went the wrong way. Need neg funding before this is a squeeze.</t>
  </si>
  <si>
    <t xml:space="preserve">Price-only break (no OI filter)</t>
  </si>
  <si>
    <t xml:space="preserve">high or low</t>
  </si>
  <si>
    <t xml:space="preserve">ignored</t>
  </si>
  <si>
    <t xml:space="preserve">coin flip</t>
  </si>
  <si>
    <t xml:space="preserve">Baseline. ~48–54% close beyond. Leverage is the missing variable, not trend filters.</t>
  </si>
  <si>
    <t xml:space="preserve">Pooled fade (formula)</t>
  </si>
  <si>
    <t xml:space="preserve">Should match column I on the fade row if both n filled.</t>
  </si>
  <si>
    <t xml:space="preserve">What was NOT tested</t>
  </si>
  <si>
    <t xml:space="preserve">Entries 10 / 15 / 20% beyond the prior-day high or low (stop-run / late-chase band). First-touch only. Intraday stop-cluster maps. Kraken-only OI vs Coinalyze .A. Live taker fee. That stub lives on Extension stub.</t>
  </si>
  <si>
    <t xml:space="preserve">Archive scanned 1h / 4h / 8h / 24h. Only one extra cell-window pair was written down: SOL 8h A.neg. Everything else on this sheet is a placeholder so the next run has a home.</t>
  </si>
  <si>
    <t xml:space="preserve">Coin</t>
  </si>
  <si>
    <t xml:space="preserve">SOL</t>
  </si>
  <si>
    <t xml:space="preserve">1h</t>
  </si>
  <si>
    <t xml:space="preserve">not run</t>
  </si>
  <si>
    <t xml:space="preserve">24h</t>
  </si>
  <si>
    <t xml:space="preserve">ETH</t>
  </si>
  <si>
    <t xml:space="preserve">Knob sweep — 144 combos</t>
  </si>
  <si>
    <t xml:space="preserve">Archive: hot/flush/perp/surge barely moved SOL cells. Do not invent numbers. Status=scanned-no-delta means the sweep ran and cells did not re-bucket enough to publish a new scoreboard. Fill C–I when a real run exists.</t>
  </si>
  <si>
    <t xml:space="preserve">combo_id</t>
  </si>
  <si>
    <t xml:space="preserve">hot_apr</t>
  </si>
  <si>
    <t xml:space="preserve">flush_pct</t>
  </si>
  <si>
    <t xml:space="preserve">perp_ratio</t>
  </si>
  <si>
    <t xml:space="preserve">surge_x</t>
  </si>
  <si>
    <t xml:space="preserve">SOL cells moved?</t>
  </si>
  <si>
    <t xml:space="preserve">Best SOL cell</t>
  </si>
  <si>
    <t xml:space="preserve">Best SOL n</t>
  </si>
  <si>
    <t xml:space="preserve">Best SOL 24h</t>
  </si>
  <si>
    <t xml:space="preserve">scanned — no published delta</t>
  </si>
  <si>
    <t xml:space="preserve">baseline</t>
  </si>
  <si>
    <t xml:space="preserve">see SOL grid 4h</t>
  </si>
  <si>
    <t xml:space="preserve">measured default</t>
  </si>
  <si>
    <t xml:space="preserve">Default combo_id</t>
  </si>
  <si>
    <t xml:space="preserve">Combos</t>
  </si>
  <si>
    <t xml:space="preserve">Measured defaults</t>
  </si>
  <si>
    <t xml:space="preserve">Still empty</t>
  </si>
  <si>
    <t xml:space="preserve">Stop-run / extension entries — NOT RUN</t>
  </si>
  <si>
    <t xml:space="preserve">Hypothesis: openings live where retail stops sit, just beyond prior-day high/low. First-touch study does not answer this. Fill when 1h (or 5m) bars exist. Yellow until then.</t>
  </si>
  <si>
    <t xml:space="preserve">Offset beyond level</t>
  </si>
  <si>
    <t xml:space="preserve">24h raw</t>
  </si>
  <si>
    <t xml:space="preserve">24h net 0.1%</t>
  </si>
  <si>
    <t xml:space="preserve">Hit first-3%</t>
  </si>
  <si>
    <t xml:space="preserve">Both halves same sign?</t>
  </si>
  <si>
    <t xml:space="preserve">Vs first-touch fade</t>
  </si>
  <si>
    <t xml:space="preserve">high + offset → short</t>
  </si>
  <si>
    <t xml:space="preserve">low − offset → long</t>
  </si>
  <si>
    <t xml:space="preserve">BTC</t>
  </si>
  <si>
    <t xml:space="preserve">XRP</t>
  </si>
  <si>
    <t xml:space="preserve">If 10% works and 20% dies, that is a stop-run (sweep then reject). If only 20% works, you are measuring the same continuation the D-row already has, after the move is spent. Split n by coin before you believe either story.</t>
  </si>
  <si>
    <t xml:space="preserve">Coin queue — Kraken US 16</t>
  </si>
  <si>
    <t xml:space="preserve">Same Grid, same default knobs first. Per-coin percentile dose comes after the default grade exists. Volume first: SOL, XRP, ETH, DOGE.</t>
  </si>
  <si>
    <t xml:space="preserve">Kraken US perp</t>
  </si>
  <si>
    <t xml:space="preserve">Grid 4h grade</t>
  </si>
  <si>
    <t xml:space="preserve">Level-break grade</t>
  </si>
  <si>
    <t xml:space="preserve">Priority</t>
  </si>
  <si>
    <t xml:space="preserve">Next action</t>
  </si>
  <si>
    <t xml:space="preserve">Notes</t>
  </si>
  <si>
    <t xml:space="preserve">yes</t>
  </si>
  <si>
    <t xml:space="preserve">done</t>
  </si>
  <si>
    <t xml:space="preserve">Retune only after XRP/BTC default grades exist</t>
  </si>
  <si>
    <t xml:space="preserve">8h A.neg extra</t>
  </si>
  <si>
    <t xml:space="preserve">Need n on A.neg before any alert</t>
  </si>
  <si>
    <t xml:space="preserve">n=12 on best cell</t>
  </si>
  <si>
    <t xml:space="preserve">Run default 4h Grid next</t>
  </si>
  <si>
    <t xml:space="preserve">Sizer preset exists; no grade</t>
  </si>
  <si>
    <t xml:space="preserve">Run default 4h Grid</t>
  </si>
  <si>
    <t xml:space="preserve">Price-only breaks already ~coin flip 2018–2026</t>
  </si>
  <si>
    <t xml:space="preserve">DOGE</t>
  </si>
  <si>
    <t xml:space="preserve">Default 4h after XRP/BTC</t>
  </si>
  <si>
    <t xml:space="preserve">ADA</t>
  </si>
  <si>
    <t xml:space="preserve">Default 4h</t>
  </si>
  <si>
    <t xml:space="preserve">AVAX</t>
  </si>
  <si>
    <t xml:space="preserve">LINK</t>
  </si>
  <si>
    <t xml:space="preserve">LTC</t>
  </si>
  <si>
    <t xml:space="preserve">DOT</t>
  </si>
  <si>
    <t xml:space="preserve">AAVE</t>
  </si>
  <si>
    <t xml:space="preserve">BCH</t>
  </si>
  <si>
    <t xml:space="preserve">HBAR</t>
  </si>
  <si>
    <t xml:space="preserve">SHIB</t>
  </si>
  <si>
    <t xml:space="preserve">Watch volume; OI contracts still required</t>
  </si>
  <si>
    <t xml:space="preserve">XLM</t>
  </si>
  <si>
    <t xml:space="preserve">XTZ</t>
  </si>
  <si>
    <t xml:space="preserve">Done</t>
  </si>
  <si>
    <t xml:space="preserve">Not run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</si>
</sst>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"/>
    <numFmt numFmtId="166" formatCode="0.000"/>
    <numFmt numFmtId="167" formatCode="0"/>
    <numFmt numFmtId="168" formatCode="#,##0"/>
    <numFmt numFmtId="169" formatCode="0.00%"/>
    <numFmt numFmtId="170" formatCode="0%"/>
    <numFmt numFmtId="171" formatCode="0.0%"/>
  </numFmts>
  <fonts count="1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17202B"/>
      <name val="Arial"/>
      <family val="0"/>
      <charset val="1"/>
    </font>
    <font>
      <i val="true"/>
      <sz val="11"/>
      <color rgb="FF5A667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7202B"/>
      <name val="Arial"/>
      <family val="0"/>
      <charset val="1"/>
    </font>
    <font>
      <sz val="11"/>
      <color rgb="FF17202B"/>
      <name val="Arial"/>
      <family val="0"/>
      <charset val="1"/>
    </font>
    <font>
      <b val="true"/>
      <sz val="13"/>
      <color rgb="FF17202B"/>
      <name val="Arial"/>
      <family val="0"/>
      <charset val="1"/>
    </font>
    <font>
      <b val="true"/>
      <sz val="11"/>
      <color rgb="FF15865A"/>
      <name val="Arial"/>
      <family val="0"/>
      <charset val="1"/>
    </font>
    <font>
      <b val="true"/>
      <sz val="18"/>
      <color rgb="FF17202B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C23A2B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7202B"/>
        <bgColor rgb="FF003300"/>
      </patternFill>
    </fill>
    <fill>
      <patternFill patternType="solid">
        <fgColor rgb="FFE6ECFB"/>
        <bgColor rgb="FFE0F3EA"/>
      </patternFill>
    </fill>
    <fill>
      <patternFill patternType="solid">
        <fgColor rgb="FFF8EFD6"/>
        <bgColor rgb="FFFBE6E3"/>
      </patternFill>
    </fill>
    <fill>
      <patternFill patternType="solid">
        <fgColor rgb="FFE0F3EA"/>
        <bgColor rgb="FFE6ECFB"/>
      </patternFill>
    </fill>
    <fill>
      <patternFill patternType="solid">
        <fgColor rgb="FFFFF3B0"/>
        <bgColor rgb="FFF8EFD6"/>
      </patternFill>
    </fill>
    <fill>
      <patternFill patternType="solid">
        <fgColor rgb="FFFBE6E3"/>
        <bgColor rgb="FFF8EF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8DEE6"/>
      </left>
      <right style="thin">
        <color rgb="FFD8DEE6"/>
      </right>
      <top style="thin">
        <color rgb="FFD8DEE6"/>
      </top>
      <bottom style="thin">
        <color rgb="FFD8DEE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1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7202B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FFFFFF"/>
        </patternFill>
      </fill>
    </dxf>
    <dxf>
      <fill>
        <patternFill patternType="solid">
          <fgColor rgb="FFE0F3EA"/>
        </patternFill>
      </fill>
    </dxf>
    <dxf>
      <fill>
        <patternFill patternType="solid">
          <fgColor rgb="FFF8EFD6"/>
        </patternFill>
      </fill>
    </dxf>
    <dxf>
      <fill>
        <patternFill patternType="solid">
          <fgColor rgb="FFFFF3B0"/>
        </patternFill>
      </fill>
    </dxf>
    <dxf>
      <fill>
        <patternFill patternType="solid">
          <fgColor rgb="FF15865A"/>
        </patternFill>
      </fill>
    </dxf>
    <dxf>
      <fill>
        <patternFill patternType="solid">
          <fgColor rgb="FF0000FF"/>
        </patternFill>
      </fill>
    </dxf>
    <dxf>
      <fill>
        <patternFill patternType="solid">
          <fgColor rgb="FFFBE6E3"/>
        </patternFill>
      </fill>
    </dxf>
    <dxf>
      <fill>
        <patternFill patternType="solid">
          <fgColor rgb="FFC23A2B"/>
        </patternFill>
      </fill>
    </dxf>
    <dxf>
      <fill>
        <patternFill patternType="solid">
          <fgColor rgb="FFE6ECFB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A6B00"/>
      <rgbColor rgb="FF800080"/>
      <rgbColor rgb="FF15865A"/>
      <rgbColor rgb="FFD9D9D9"/>
      <rgbColor rgb="FF878787"/>
      <rgbColor rgb="FF81A2FF"/>
      <rgbColor rgb="FF993366"/>
      <rgbColor rgb="FFF8EFD6"/>
      <rgbColor rgb="FFE0F3EA"/>
      <rgbColor rgb="FF660066"/>
      <rgbColor rgb="FFFF8080"/>
      <rgbColor rgb="FF0066CC"/>
      <rgbColor rgb="FFD8DE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ECFB"/>
      <rgbColor rgb="FFF9F9F9"/>
      <rgbColor rgb="FFFFF3B0"/>
      <rgbColor rgb="FF99CCFF"/>
      <rgbColor rgb="FFFF99CC"/>
      <rgbColor rgb="FFCC99FF"/>
      <rgbColor rgb="FFFBE6E3"/>
      <rgbColor rgb="FF2F5BD3"/>
      <rgbColor rgb="FF33CCCC"/>
      <rgbColor rgb="FF99CC00"/>
      <rgbColor rgb="FFFFCC00"/>
      <rgbColor rgb="FFFF9900"/>
      <rgbColor rgb="FFFF6600"/>
      <rgbColor rgb="FF5A6677"/>
      <rgbColor rgb="FF969696"/>
      <rgbColor rgb="FF003366"/>
      <rgbColor rgb="FF4F81BD"/>
      <rgbColor rgb="FF003300"/>
      <rgbColor rgb="FF333300"/>
      <rgbColor rgb="FFC23A2B"/>
      <rgbColor rgb="FF993366"/>
      <rgbColor rgb="FF333399"/>
      <rgbColor rgb="FF17202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SOL next 24h by cell (default 4h)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'SOL grid 4h'!G4</c:f>
              <c:strCache>
                <c:ptCount val="1"/>
                <c:pt idx="0">
                  <c:v>Next 24h %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'SOL grid 4h'!$B$5:$B$12</c:f>
              <c:strCache>
                <c:ptCount val="8"/>
                <c:pt idx="0">
                  <c:v>Crowded longs</c:v>
                </c:pt>
                <c:pt idx="1">
                  <c:v>Cascade loading</c:v>
                </c:pt>
                <c:pt idx="2">
                  <c:v>Rally, no new money</c:v>
                </c:pt>
                <c:pt idx="3">
                  <c:v>Flush not finished</c:v>
                </c:pt>
                <c:pt idx="4">
                  <c:v>Shorts fighting a rally</c:v>
                </c:pt>
                <c:pt idx="5">
                  <c:v>Shorts crowding in</c:v>
                </c:pt>
                <c:pt idx="6">
                  <c:v>Short squeeze in progress</c:v>
                </c:pt>
                <c:pt idx="7">
                  <c:v>Capitulation</c:v>
                </c:pt>
              </c:strCache>
            </c:strRef>
          </c:cat>
          <c:val>
            <c:numRef>
              <c:f>'SOL grid 4h'!$G$5:$G$12</c:f>
              <c:numCache>
                <c:formatCode>General</c:formatCode>
                <c:ptCount val="8"/>
                <c:pt idx="0">
                  <c:v>0.0075</c:v>
                </c:pt>
                <c:pt idx="1">
                  <c:v>0.0106</c:v>
                </c:pt>
                <c:pt idx="2">
                  <c:v>0.0131</c:v>
                </c:pt>
                <c:pt idx="3">
                  <c:v>0.0041</c:v>
                </c:pt>
                <c:pt idx="4">
                  <c:v>0.0027</c:v>
                </c:pt>
                <c:pt idx="5">
                  <c:v>0.0023</c:v>
                </c:pt>
                <c:pt idx="6">
                  <c:v>-0.0019</c:v>
                </c:pt>
                <c:pt idx="7">
                  <c:v>-0.0037</c:v>
                </c:pt>
              </c:numCache>
            </c:numRef>
          </c:val>
        </c:ser>
        <c:gapWidth val="150"/>
        <c:overlap val="0"/>
        <c:axId val="97303602"/>
        <c:axId val="71844938"/>
      </c:barChart>
      <c:catAx>
        <c:axId val="97303602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Next 24h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844938"/>
        <c:crosses val="autoZero"/>
        <c:auto val="1"/>
        <c:lblAlgn val="ctr"/>
        <c:lblOffset val="100"/>
        <c:noMultiLvlLbl val="0"/>
      </c:catAx>
      <c:valAx>
        <c:axId val="7184493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Cell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30360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ETH next 24h by cell (default 4h)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'ETH grid 4h'!G4</c:f>
              <c:strCache>
                <c:ptCount val="1"/>
                <c:pt idx="0">
                  <c:v>Next 24h %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'ETH grid 4h'!$B$5:$B$12</c:f>
              <c:strCache>
                <c:ptCount val="8"/>
                <c:pt idx="0">
                  <c:v>Crowded longs</c:v>
                </c:pt>
                <c:pt idx="1">
                  <c:v>Flush not finished</c:v>
                </c:pt>
                <c:pt idx="2">
                  <c:v>Rally, no new money</c:v>
                </c:pt>
                <c:pt idx="3">
                  <c:v>Cascade loading</c:v>
                </c:pt>
                <c:pt idx="4">
                  <c:v>Shorts fighting a rally</c:v>
                </c:pt>
                <c:pt idx="5">
                  <c:v>Shorts crowding in</c:v>
                </c:pt>
                <c:pt idx="6">
                  <c:v>Short squeeze in progress</c:v>
                </c:pt>
                <c:pt idx="7">
                  <c:v>Capitulation</c:v>
                </c:pt>
              </c:strCache>
            </c:strRef>
          </c:cat>
          <c:val>
            <c:numRef>
              <c:f>'ETH grid 4h'!$G$5:$G$12</c:f>
              <c:numCache>
                <c:formatCode>General</c:formatCode>
                <c:ptCount val="8"/>
                <c:pt idx="0">
                  <c:v>0.0063</c:v>
                </c:pt>
                <c:pt idx="1">
                  <c:v>0.0067</c:v>
                </c:pt>
                <c:pt idx="2">
                  <c:v>0.0051</c:v>
                </c:pt>
                <c:pt idx="3">
                  <c:v>0.004</c:v>
                </c:pt>
                <c:pt idx="4">
                  <c:v>0.0097</c:v>
                </c:pt>
                <c:pt idx="5">
                  <c:v>0.0045</c:v>
                </c:pt>
                <c:pt idx="6">
                  <c:v>0.0055</c:v>
                </c:pt>
                <c:pt idx="7">
                  <c:v>-0.0083</c:v>
                </c:pt>
              </c:numCache>
            </c:numRef>
          </c:val>
        </c:ser>
        <c:gapWidth val="150"/>
        <c:overlap val="0"/>
        <c:axId val="28066790"/>
        <c:axId val="9467331"/>
      </c:barChart>
      <c:catAx>
        <c:axId val="2806679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67331"/>
        <c:crosses val="autoZero"/>
        <c:auto val="1"/>
        <c:lblAlgn val="ctr"/>
        <c:lblOffset val="100"/>
        <c:noMultiLvlLbl val="0"/>
      </c:catAx>
      <c:valAx>
        <c:axId val="946733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06679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21</xdr:row>
      <xdr:rowOff>0</xdr:rowOff>
    </xdr:from>
    <xdr:to>
      <xdr:col>4</xdr:col>
      <xdr:colOff>747720</xdr:colOff>
      <xdr:row>36</xdr:row>
      <xdr:rowOff>21960</xdr:rowOff>
    </xdr:to>
    <xdr:graphicFrame>
      <xdr:nvGraphicFramePr>
        <xdr:cNvPr id="0" name="Chart 1"/>
        <xdr:cNvGraphicFramePr/>
      </xdr:nvGraphicFramePr>
      <xdr:xfrm>
        <a:off x="0" y="4743360"/>
        <a:ext cx="53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16</xdr:row>
      <xdr:rowOff>0</xdr:rowOff>
    </xdr:from>
    <xdr:to>
      <xdr:col>4</xdr:col>
      <xdr:colOff>747720</xdr:colOff>
      <xdr:row>31</xdr:row>
      <xdr:rowOff>22320</xdr:rowOff>
    </xdr:to>
    <xdr:graphicFrame>
      <xdr:nvGraphicFramePr>
        <xdr:cNvPr id="1" name="Chart 1"/>
        <xdr:cNvGraphicFramePr/>
      </xdr:nvGraphicFramePr>
      <xdr:xfrm>
        <a:off x="0" y="3314880"/>
        <a:ext cx="53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BD3"/>
    <pageSetUpPr fitToPage="true"/>
  </sheetPr>
  <dimension ref="A1:G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78"/>
    <col collapsed="false" customWidth="true" hidden="false" outlineLevel="0" max="3" min="3" style="0" width="18"/>
    <col collapsed="false" customWidth="true" hidden="false" outlineLevel="0" max="7" min="4" style="0" width="14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15" hidden="false" customHeight="true" outlineLevel="0" collapsed="false">
      <c r="A4" s="3" t="s">
        <v>2</v>
      </c>
      <c r="B4" s="3" t="s">
        <v>3</v>
      </c>
      <c r="C4" s="3"/>
      <c r="D4" s="3"/>
      <c r="E4" s="3"/>
      <c r="F4" s="3"/>
      <c r="G4" s="3"/>
    </row>
    <row r="5" customFormat="false" ht="55.5" hidden="false" customHeight="true" outlineLevel="0" collapsed="false">
      <c r="A5" s="4" t="s">
        <v>4</v>
      </c>
      <c r="B5" s="5" t="s">
        <v>5</v>
      </c>
      <c r="C5" s="5"/>
      <c r="D5" s="5"/>
      <c r="E5" s="5"/>
      <c r="F5" s="5"/>
      <c r="G5" s="5"/>
    </row>
    <row r="6" customFormat="false" ht="55.5" hidden="false" customHeight="true" outlineLevel="0" collapsed="false">
      <c r="A6" s="4" t="s">
        <v>6</v>
      </c>
      <c r="B6" s="5" t="s">
        <v>7</v>
      </c>
      <c r="C6" s="5"/>
      <c r="D6" s="5"/>
      <c r="E6" s="5"/>
      <c r="F6" s="5"/>
      <c r="G6" s="5"/>
    </row>
    <row r="7" customFormat="false" ht="55.5" hidden="false" customHeight="true" outlineLevel="0" collapsed="false">
      <c r="A7" s="4" t="s">
        <v>8</v>
      </c>
      <c r="B7" s="5" t="s">
        <v>9</v>
      </c>
      <c r="C7" s="5"/>
      <c r="D7" s="5"/>
      <c r="E7" s="5"/>
      <c r="F7" s="5"/>
      <c r="G7" s="5"/>
    </row>
    <row r="8" customFormat="false" ht="55.5" hidden="false" customHeight="true" outlineLevel="0" collapsed="false">
      <c r="A8" s="4" t="s">
        <v>10</v>
      </c>
      <c r="B8" s="5" t="s">
        <v>11</v>
      </c>
      <c r="C8" s="5"/>
      <c r="D8" s="5"/>
      <c r="E8" s="5"/>
      <c r="F8" s="5"/>
      <c r="G8" s="5"/>
    </row>
    <row r="9" customFormat="false" ht="55.5" hidden="false" customHeight="true" outlineLevel="0" collapsed="false">
      <c r="A9" s="4" t="s">
        <v>12</v>
      </c>
      <c r="B9" s="5" t="s">
        <v>13</v>
      </c>
      <c r="C9" s="5"/>
      <c r="D9" s="5"/>
      <c r="E9" s="5"/>
      <c r="F9" s="5"/>
      <c r="G9" s="5"/>
    </row>
    <row r="10" customFormat="false" ht="55.5" hidden="false" customHeight="true" outlineLevel="0" collapsed="false">
      <c r="A10" s="4" t="s">
        <v>14</v>
      </c>
      <c r="B10" s="5" t="s">
        <v>15</v>
      </c>
      <c r="C10" s="5"/>
      <c r="D10" s="5"/>
      <c r="E10" s="5"/>
      <c r="F10" s="5"/>
      <c r="G10" s="5"/>
    </row>
    <row r="12" customFormat="false" ht="15" hidden="false" customHeight="false" outlineLevel="0" collapsed="false">
      <c r="A12" s="6" t="s">
        <v>16</v>
      </c>
    </row>
    <row r="13" customFormat="false" ht="39.75" hidden="false" customHeight="true" outlineLevel="0" collapsed="false">
      <c r="A13" s="7" t="s">
        <v>17</v>
      </c>
      <c r="B13" s="7"/>
      <c r="C13" s="7"/>
      <c r="D13" s="7"/>
      <c r="E13" s="7"/>
      <c r="F13" s="7"/>
      <c r="G13" s="7"/>
    </row>
    <row r="15" customFormat="false" ht="15" hidden="false" customHeight="false" outlineLevel="0" collapsed="false">
      <c r="A15" s="3" t="s">
        <v>18</v>
      </c>
      <c r="B15" s="3" t="s">
        <v>19</v>
      </c>
      <c r="C15" s="3" t="s">
        <v>20</v>
      </c>
    </row>
    <row r="16" customFormat="false" ht="15" hidden="false" customHeight="false" outlineLevel="0" collapsed="false">
      <c r="A16" s="8" t="s">
        <v>21</v>
      </c>
      <c r="B16" s="8" t="s">
        <v>22</v>
      </c>
      <c r="C16" s="8" t="s">
        <v>23</v>
      </c>
    </row>
    <row r="17" customFormat="false" ht="15" hidden="false" customHeight="false" outlineLevel="0" collapsed="false">
      <c r="A17" s="8" t="s">
        <v>24</v>
      </c>
      <c r="B17" s="8" t="s">
        <v>25</v>
      </c>
      <c r="C17" s="8" t="s">
        <v>26</v>
      </c>
    </row>
    <row r="18" customFormat="false" ht="15" hidden="false" customHeight="false" outlineLevel="0" collapsed="false">
      <c r="A18" s="8" t="s">
        <v>27</v>
      </c>
      <c r="B18" s="8" t="s">
        <v>28</v>
      </c>
      <c r="C18" s="9" t="s">
        <v>29</v>
      </c>
    </row>
    <row r="19" customFormat="false" ht="15" hidden="false" customHeight="false" outlineLevel="0" collapsed="false">
      <c r="A19" s="8" t="s">
        <v>30</v>
      </c>
      <c r="B19" s="8" t="s">
        <v>31</v>
      </c>
      <c r="C19" s="9" t="s">
        <v>29</v>
      </c>
    </row>
    <row r="20" customFormat="false" ht="15" hidden="false" customHeight="false" outlineLevel="0" collapsed="false">
      <c r="A20" s="8" t="s">
        <v>32</v>
      </c>
      <c r="B20" s="8" t="s">
        <v>33</v>
      </c>
      <c r="C20" s="9" t="s">
        <v>29</v>
      </c>
    </row>
    <row r="21" customFormat="false" ht="15" hidden="false" customHeight="false" outlineLevel="0" collapsed="false">
      <c r="A21" s="8" t="s">
        <v>34</v>
      </c>
      <c r="B21" s="8" t="s">
        <v>35</v>
      </c>
      <c r="C21" s="10" t="s">
        <v>36</v>
      </c>
    </row>
    <row r="22" customFormat="false" ht="15" hidden="false" customHeight="false" outlineLevel="0" collapsed="false">
      <c r="A22" s="8" t="s">
        <v>37</v>
      </c>
      <c r="B22" s="8" t="s">
        <v>38</v>
      </c>
      <c r="C22" s="11" t="s">
        <v>39</v>
      </c>
    </row>
    <row r="23" customFormat="false" ht="15" hidden="false" customHeight="false" outlineLevel="0" collapsed="false">
      <c r="A23" s="8" t="s">
        <v>40</v>
      </c>
      <c r="B23" s="8" t="s">
        <v>41</v>
      </c>
      <c r="C23" s="11" t="s">
        <v>42</v>
      </c>
    </row>
    <row r="24" customFormat="false" ht="15" hidden="false" customHeight="false" outlineLevel="0" collapsed="false">
      <c r="A24" s="8" t="s">
        <v>43</v>
      </c>
      <c r="B24" s="8" t="s">
        <v>44</v>
      </c>
      <c r="C24" s="8" t="s">
        <v>45</v>
      </c>
    </row>
  </sheetData>
  <autoFilter ref="A15:C24"/>
  <mergeCells count="10">
    <mergeCell ref="A1:G1"/>
    <mergeCell ref="A2:G2"/>
    <mergeCell ref="B4:G4"/>
    <mergeCell ref="B5:G5"/>
    <mergeCell ref="B6:G6"/>
    <mergeCell ref="B7:G7"/>
    <mergeCell ref="B8:G8"/>
    <mergeCell ref="B9:G9"/>
    <mergeCell ref="B10:G10"/>
    <mergeCell ref="A13:G13"/>
  </mergeCells>
  <printOptions headings="false" gridLines="false" gridLinesSet="true" horizontalCentered="false" verticalCentered="false"/>
  <pageMargins left="0.75" right="0.75" top="1" bottom="1" header="0.5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&amp;LSqueeze study</oddHeader>
    <oddFooter>&amp;LRead me&amp;CPage &amp;P of &amp;N&amp;RClayten Fields — squeeze study — 2026-09-30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A6677"/>
    <pageSetUpPr fitToPage="true"/>
  </sheetPr>
  <dimension ref="A1:F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8"/>
    <col collapsed="false" customWidth="true" hidden="false" outlineLevel="0" max="4" min="3" style="0" width="16"/>
    <col collapsed="false" customWidth="true" hidden="false" outlineLevel="0" max="5" min="5" style="0" width="52"/>
    <col collapsed="false" customWidth="true" hidden="false" outlineLevel="0" max="6" min="6" style="0" width="48"/>
  </cols>
  <sheetData>
    <row r="1" customFormat="false" ht="15" hidden="false" customHeight="false" outlineLevel="0" collapsed="false">
      <c r="A1" s="12" t="s">
        <v>24</v>
      </c>
    </row>
    <row r="2" customFormat="false" ht="31.5" hidden="false" customHeight="true" outlineLevel="0" collapsed="false">
      <c r="A2" s="2" t="s">
        <v>46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6" t="s">
        <v>47</v>
      </c>
    </row>
    <row r="5" customFormat="false" ht="15" hidden="false" customHeight="false" outlineLevel="0" collapsed="false">
      <c r="A5" s="3" t="s">
        <v>48</v>
      </c>
      <c r="B5" s="3" t="s">
        <v>49</v>
      </c>
      <c r="C5" s="3" t="s">
        <v>50</v>
      </c>
      <c r="D5" s="3" t="s">
        <v>51</v>
      </c>
      <c r="E5" s="3" t="s">
        <v>52</v>
      </c>
      <c r="F5" s="3" t="s">
        <v>53</v>
      </c>
    </row>
    <row r="6" customFormat="false" ht="15" hidden="false" customHeight="false" outlineLevel="0" collapsed="false">
      <c r="A6" s="8" t="s">
        <v>54</v>
      </c>
      <c r="B6" s="8" t="s">
        <v>55</v>
      </c>
      <c r="C6" s="13" t="s">
        <v>56</v>
      </c>
      <c r="D6" s="8" t="s">
        <v>57</v>
      </c>
      <c r="E6" s="8" t="s">
        <v>58</v>
      </c>
      <c r="F6" s="8" t="s">
        <v>59</v>
      </c>
    </row>
    <row r="7" customFormat="false" ht="15" hidden="false" customHeight="false" outlineLevel="0" collapsed="false">
      <c r="A7" s="8" t="s">
        <v>60</v>
      </c>
      <c r="B7" s="8" t="s">
        <v>61</v>
      </c>
      <c r="C7" s="14" t="n">
        <v>10</v>
      </c>
      <c r="D7" s="8" t="s">
        <v>62</v>
      </c>
      <c r="E7" s="8" t="s">
        <v>63</v>
      </c>
      <c r="F7" s="8" t="s">
        <v>64</v>
      </c>
    </row>
    <row r="8" customFormat="false" ht="15" hidden="false" customHeight="false" outlineLevel="0" collapsed="false">
      <c r="A8" s="8" t="s">
        <v>65</v>
      </c>
      <c r="B8" s="8" t="s">
        <v>66</v>
      </c>
      <c r="C8" s="14" t="n">
        <v>0</v>
      </c>
      <c r="D8" s="8" t="s">
        <v>62</v>
      </c>
      <c r="E8" s="8" t="s">
        <v>67</v>
      </c>
      <c r="F8" s="8" t="s">
        <v>68</v>
      </c>
    </row>
    <row r="9" customFormat="false" ht="15" hidden="false" customHeight="false" outlineLevel="0" collapsed="false">
      <c r="A9" s="8" t="s">
        <v>69</v>
      </c>
      <c r="B9" s="8" t="s">
        <v>70</v>
      </c>
      <c r="C9" s="14" t="n">
        <v>5</v>
      </c>
      <c r="D9" s="8" t="s">
        <v>71</v>
      </c>
      <c r="E9" s="8" t="s">
        <v>72</v>
      </c>
      <c r="F9" s="8" t="s">
        <v>73</v>
      </c>
    </row>
    <row r="10" customFormat="false" ht="15" hidden="false" customHeight="false" outlineLevel="0" collapsed="false">
      <c r="A10" s="8" t="s">
        <v>74</v>
      </c>
      <c r="B10" s="8" t="s">
        <v>75</v>
      </c>
      <c r="C10" s="14" t="n">
        <v>1</v>
      </c>
      <c r="D10" s="8" t="s">
        <v>76</v>
      </c>
      <c r="E10" s="8" t="s">
        <v>77</v>
      </c>
      <c r="F10" s="8" t="s">
        <v>78</v>
      </c>
    </row>
    <row r="11" customFormat="false" ht="15" hidden="false" customHeight="false" outlineLevel="0" collapsed="false">
      <c r="A11" s="8" t="s">
        <v>79</v>
      </c>
      <c r="B11" s="8" t="s">
        <v>80</v>
      </c>
      <c r="C11" s="14" t="n">
        <v>1.2</v>
      </c>
      <c r="D11" s="8" t="s">
        <v>81</v>
      </c>
      <c r="E11" s="8" t="s">
        <v>82</v>
      </c>
      <c r="F11" s="8" t="s">
        <v>83</v>
      </c>
    </row>
    <row r="12" customFormat="false" ht="15" hidden="false" customHeight="false" outlineLevel="0" collapsed="false">
      <c r="A12" s="8" t="s">
        <v>84</v>
      </c>
      <c r="B12" s="8" t="s">
        <v>85</v>
      </c>
      <c r="C12" s="14" t="n">
        <v>5</v>
      </c>
      <c r="D12" s="8" t="s">
        <v>76</v>
      </c>
      <c r="E12" s="8" t="s">
        <v>86</v>
      </c>
      <c r="F12" s="8" t="s">
        <v>87</v>
      </c>
    </row>
    <row r="13" customFormat="false" ht="15" hidden="false" customHeight="false" outlineLevel="0" collapsed="false">
      <c r="A13" s="8" t="s">
        <v>88</v>
      </c>
      <c r="B13" s="8" t="s">
        <v>89</v>
      </c>
      <c r="C13" s="14" t="n">
        <v>1.5</v>
      </c>
      <c r="D13" s="8" t="s">
        <v>90</v>
      </c>
      <c r="E13" s="8" t="s">
        <v>91</v>
      </c>
      <c r="F13" s="8" t="s">
        <v>92</v>
      </c>
    </row>
    <row r="14" customFormat="false" ht="15" hidden="false" customHeight="false" outlineLevel="0" collapsed="false">
      <c r="A14" s="8" t="s">
        <v>93</v>
      </c>
      <c r="B14" s="8" t="s">
        <v>94</v>
      </c>
      <c r="C14" s="14" t="n">
        <v>50</v>
      </c>
      <c r="D14" s="8" t="s">
        <v>95</v>
      </c>
      <c r="E14" s="8" t="s">
        <v>96</v>
      </c>
      <c r="F14" s="8" t="s">
        <v>97</v>
      </c>
    </row>
    <row r="15" customFormat="false" ht="15" hidden="false" customHeight="false" outlineLevel="0" collapsed="false">
      <c r="A15" s="8" t="s">
        <v>98</v>
      </c>
      <c r="B15" s="8" t="s">
        <v>99</v>
      </c>
      <c r="C15" s="14" t="n">
        <v>40</v>
      </c>
      <c r="D15" s="8" t="s">
        <v>100</v>
      </c>
      <c r="E15" s="8" t="s">
        <v>101</v>
      </c>
      <c r="F15" s="8" t="s">
        <v>102</v>
      </c>
    </row>
    <row r="16" customFormat="false" ht="15" hidden="false" customHeight="false" outlineLevel="0" collapsed="false">
      <c r="A16" s="8" t="s">
        <v>103</v>
      </c>
      <c r="B16" s="8" t="s">
        <v>104</v>
      </c>
      <c r="C16" s="14" t="n">
        <v>3</v>
      </c>
      <c r="D16" s="8" t="s">
        <v>76</v>
      </c>
      <c r="E16" s="8" t="s">
        <v>105</v>
      </c>
      <c r="F16" s="8" t="s">
        <v>106</v>
      </c>
    </row>
    <row r="17" customFormat="false" ht="15" hidden="false" customHeight="false" outlineLevel="0" collapsed="false">
      <c r="A17" s="8" t="s">
        <v>107</v>
      </c>
      <c r="B17" s="8" t="s">
        <v>108</v>
      </c>
      <c r="C17" s="14" t="n">
        <v>2</v>
      </c>
      <c r="D17" s="8" t="s">
        <v>109</v>
      </c>
      <c r="E17" s="8" t="s">
        <v>110</v>
      </c>
      <c r="F17" s="8" t="s">
        <v>111</v>
      </c>
    </row>
    <row r="18" customFormat="false" ht="15" hidden="false" customHeight="false" outlineLevel="0" collapsed="false">
      <c r="A18" s="8" t="s">
        <v>112</v>
      </c>
      <c r="B18" s="8" t="s">
        <v>113</v>
      </c>
      <c r="C18" s="14" t="n">
        <v>1</v>
      </c>
      <c r="D18" s="8" t="s">
        <v>109</v>
      </c>
      <c r="E18" s="8" t="s">
        <v>114</v>
      </c>
      <c r="F18" s="8" t="s">
        <v>115</v>
      </c>
    </row>
    <row r="19" customFormat="false" ht="15" hidden="false" customHeight="false" outlineLevel="0" collapsed="false">
      <c r="A19" s="8" t="s">
        <v>116</v>
      </c>
      <c r="B19" s="8" t="s">
        <v>117</v>
      </c>
      <c r="C19" s="15" t="n">
        <v>0.001</v>
      </c>
      <c r="D19" s="8" t="s">
        <v>118</v>
      </c>
      <c r="E19" s="8" t="s">
        <v>119</v>
      </c>
      <c r="F19" s="8" t="s">
        <v>120</v>
      </c>
    </row>
    <row r="21" customFormat="false" ht="15" hidden="false" customHeight="false" outlineLevel="0" collapsed="false">
      <c r="A21" s="6" t="s">
        <v>121</v>
      </c>
    </row>
    <row r="22" customFormat="false" ht="15" hidden="false" customHeight="false" outlineLevel="0" collapsed="false">
      <c r="A22" s="3" t="s">
        <v>48</v>
      </c>
      <c r="B22" s="3" t="s">
        <v>122</v>
      </c>
      <c r="C22" s="3" t="s">
        <v>123</v>
      </c>
    </row>
    <row r="23" customFormat="false" ht="15" hidden="false" customHeight="false" outlineLevel="0" collapsed="false">
      <c r="A23" s="16" t="s">
        <v>124</v>
      </c>
      <c r="B23" s="16" t="s">
        <v>125</v>
      </c>
      <c r="C23" s="16" t="s">
        <v>126</v>
      </c>
    </row>
    <row r="24" customFormat="false" ht="15" hidden="false" customHeight="false" outlineLevel="0" collapsed="false">
      <c r="A24" s="16" t="s">
        <v>61</v>
      </c>
      <c r="B24" s="16" t="s">
        <v>127</v>
      </c>
      <c r="C24" s="16" t="s">
        <v>128</v>
      </c>
    </row>
    <row r="25" customFormat="false" ht="15" hidden="false" customHeight="false" outlineLevel="0" collapsed="false">
      <c r="A25" s="16" t="s">
        <v>85</v>
      </c>
      <c r="B25" s="16" t="s">
        <v>129</v>
      </c>
      <c r="C25" s="16" t="s">
        <v>130</v>
      </c>
    </row>
    <row r="26" customFormat="false" ht="15" hidden="false" customHeight="false" outlineLevel="0" collapsed="false">
      <c r="A26" s="16" t="s">
        <v>70</v>
      </c>
      <c r="B26" s="16" t="s">
        <v>131</v>
      </c>
      <c r="C26" s="16" t="s">
        <v>132</v>
      </c>
    </row>
    <row r="27" customFormat="false" ht="15" hidden="false" customHeight="false" outlineLevel="0" collapsed="false">
      <c r="A27" s="16" t="s">
        <v>89</v>
      </c>
      <c r="B27" s="16" t="s">
        <v>133</v>
      </c>
      <c r="C27" s="16" t="s">
        <v>134</v>
      </c>
    </row>
    <row r="29" customFormat="false" ht="15" hidden="false" customHeight="false" outlineLevel="0" collapsed="false">
      <c r="A29" s="0" t="s">
        <v>135</v>
      </c>
      <c r="B29" s="17" t="n">
        <f aca="false">4*3*3*2*2</f>
        <v>144</v>
      </c>
      <c r="C29" s="0" t="s">
        <v>136</v>
      </c>
    </row>
    <row r="30" customFormat="false" ht="15" hidden="false" customHeight="false" outlineLevel="0" collapsed="false">
      <c r="A30" s="0" t="s">
        <v>137</v>
      </c>
      <c r="B30" s="0" t="s">
        <v>138</v>
      </c>
      <c r="C30" s="18" t="n">
        <f aca="false">C7</f>
        <v>10</v>
      </c>
    </row>
    <row r="31" customFormat="false" ht="15" hidden="false" customHeight="false" outlineLevel="0" collapsed="false">
      <c r="B31" s="0" t="s">
        <v>139</v>
      </c>
      <c r="C31" s="0" t="str">
        <f aca="false">C6</f>
        <v>4h</v>
      </c>
    </row>
  </sheetData>
  <autoFilter ref="A5:F19"/>
  <mergeCells count="1">
    <mergeCell ref="A2:F2"/>
  </mergeCell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&amp;LKnobs&amp;RClayten Fields — squeeze study — 2026-09-30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5865A"/>
    <pageSetUpPr fitToPage="true"/>
  </sheetPr>
  <dimension ref="A1:L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8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9" min="9" style="0" width="14"/>
    <col collapsed="false" customWidth="true" hidden="false" outlineLevel="0" max="10" min="10" style="0" width="12"/>
    <col collapsed="false" customWidth="true" hidden="false" outlineLevel="0" max="11" min="11" style="0" width="14"/>
    <col collapsed="false" customWidth="true" hidden="false" outlineLevel="0" max="12" min="12" style="0" width="62"/>
  </cols>
  <sheetData>
    <row r="1" customFormat="false" ht="24" hidden="false" customHeight="true" outlineLevel="0" collapsed="false">
      <c r="A1" s="12" t="s">
        <v>140</v>
      </c>
    </row>
    <row r="2" customFormat="false" ht="31.5" hidden="false" customHeight="true" outlineLevel="0" collapsed="false">
      <c r="A2" s="2" t="s">
        <v>141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15" hidden="false" customHeight="false" outlineLevel="0" collapsed="false">
      <c r="A4" s="3" t="s">
        <v>142</v>
      </c>
      <c r="B4" s="3" t="s">
        <v>143</v>
      </c>
      <c r="C4" s="3" t="s">
        <v>144</v>
      </c>
      <c r="D4" s="3" t="s">
        <v>145</v>
      </c>
      <c r="E4" s="3" t="s">
        <v>146</v>
      </c>
      <c r="F4" s="3" t="s">
        <v>147</v>
      </c>
      <c r="G4" s="3" t="s">
        <v>148</v>
      </c>
      <c r="H4" s="3" t="s">
        <v>149</v>
      </c>
      <c r="I4" s="3" t="s">
        <v>150</v>
      </c>
      <c r="J4" s="3" t="s">
        <v>151</v>
      </c>
      <c r="K4" s="3" t="s">
        <v>152</v>
      </c>
      <c r="L4" s="3" t="s">
        <v>153</v>
      </c>
    </row>
    <row r="5" customFormat="false" ht="15" hidden="false" customHeight="false" outlineLevel="0" collapsed="false">
      <c r="A5" s="8" t="s">
        <v>154</v>
      </c>
      <c r="B5" s="8" t="s">
        <v>155</v>
      </c>
      <c r="C5" s="8" t="s">
        <v>156</v>
      </c>
      <c r="D5" s="19" t="n">
        <v>-80</v>
      </c>
      <c r="E5" s="8" t="s">
        <v>157</v>
      </c>
      <c r="F5" s="20" t="n">
        <v>97</v>
      </c>
      <c r="G5" s="21" t="n">
        <v>0.0075</v>
      </c>
      <c r="H5" s="22"/>
      <c r="I5" s="23" t="s">
        <v>158</v>
      </c>
      <c r="J5" s="24" t="n">
        <f aca="false">G5</f>
        <v>0.0075</v>
      </c>
      <c r="K5" s="25" t="n">
        <f aca="false">IF(SUM($F$5:$F$12)=0,"",F5/SUM($F$5:$F$12))</f>
        <v>0.20464135021097</v>
      </c>
      <c r="L5" s="8" t="s">
        <v>159</v>
      </c>
    </row>
    <row r="6" customFormat="false" ht="15" hidden="false" customHeight="false" outlineLevel="0" collapsed="false">
      <c r="A6" s="8" t="s">
        <v>160</v>
      </c>
      <c r="B6" s="8" t="s">
        <v>161</v>
      </c>
      <c r="C6" s="8" t="s">
        <v>156</v>
      </c>
      <c r="D6" s="19" t="n">
        <v>-85</v>
      </c>
      <c r="E6" s="8" t="s">
        <v>162</v>
      </c>
      <c r="F6" s="20" t="n">
        <v>60</v>
      </c>
      <c r="G6" s="21" t="n">
        <v>0.0106</v>
      </c>
      <c r="H6" s="22"/>
      <c r="I6" s="23" t="s">
        <v>158</v>
      </c>
      <c r="J6" s="24" t="n">
        <f aca="false">G6</f>
        <v>0.0106</v>
      </c>
      <c r="K6" s="25" t="n">
        <f aca="false">IF(SUM($F$5:$F$12)=0,"",F6/SUM($F$5:$F$12))</f>
        <v>0.126582278481013</v>
      </c>
      <c r="L6" s="8" t="s">
        <v>163</v>
      </c>
    </row>
    <row r="7" customFormat="false" ht="15" hidden="false" customHeight="false" outlineLevel="0" collapsed="false">
      <c r="A7" s="8" t="s">
        <v>164</v>
      </c>
      <c r="B7" s="8" t="s">
        <v>165</v>
      </c>
      <c r="C7" s="8" t="s">
        <v>156</v>
      </c>
      <c r="D7" s="19" t="n">
        <v>-50</v>
      </c>
      <c r="E7" s="8" t="s">
        <v>157</v>
      </c>
      <c r="F7" s="20" t="n">
        <v>79</v>
      </c>
      <c r="G7" s="21" t="n">
        <v>0.0131</v>
      </c>
      <c r="H7" s="22"/>
      <c r="I7" s="23" t="s">
        <v>158</v>
      </c>
      <c r="J7" s="24" t="n">
        <f aca="false">G7</f>
        <v>0.0131</v>
      </c>
      <c r="K7" s="25" t="n">
        <f aca="false">IF(SUM($F$5:$F$12)=0,"",F7/SUM($F$5:$F$12))</f>
        <v>0.166666666666667</v>
      </c>
      <c r="L7" s="8" t="s">
        <v>166</v>
      </c>
    </row>
    <row r="8" customFormat="false" ht="15" hidden="false" customHeight="false" outlineLevel="0" collapsed="false">
      <c r="A8" s="8" t="s">
        <v>167</v>
      </c>
      <c r="B8" s="8" t="s">
        <v>168</v>
      </c>
      <c r="C8" s="8" t="s">
        <v>156</v>
      </c>
      <c r="D8" s="19" t="n">
        <v>-40</v>
      </c>
      <c r="E8" s="8" t="s">
        <v>169</v>
      </c>
      <c r="F8" s="20" t="n">
        <v>88</v>
      </c>
      <c r="G8" s="21" t="n">
        <v>0.0041</v>
      </c>
      <c r="H8" s="22"/>
      <c r="I8" s="10" t="s">
        <v>170</v>
      </c>
      <c r="J8" s="24" t="n">
        <f aca="false">G8</f>
        <v>0.0041</v>
      </c>
      <c r="K8" s="25" t="n">
        <f aca="false">IF(SUM($F$5:$F$12)=0,"",F8/SUM($F$5:$F$12))</f>
        <v>0.185654008438819</v>
      </c>
      <c r="L8" s="8" t="s">
        <v>171</v>
      </c>
    </row>
    <row r="9" customFormat="false" ht="15" hidden="false" customHeight="false" outlineLevel="0" collapsed="false">
      <c r="A9" s="8" t="s">
        <v>172</v>
      </c>
      <c r="B9" s="8" t="s">
        <v>173</v>
      </c>
      <c r="C9" s="8" t="s">
        <v>156</v>
      </c>
      <c r="D9" s="19" t="n">
        <v>60</v>
      </c>
      <c r="E9" s="8" t="s">
        <v>174</v>
      </c>
      <c r="F9" s="20" t="n">
        <v>27</v>
      </c>
      <c r="G9" s="21" t="n">
        <v>0.0027</v>
      </c>
      <c r="H9" s="22" t="n">
        <v>0.44</v>
      </c>
      <c r="I9" s="9" t="s">
        <v>175</v>
      </c>
      <c r="J9" s="24" t="n">
        <f aca="false">G9</f>
        <v>0.0027</v>
      </c>
      <c r="K9" s="25" t="n">
        <f aca="false">IF(SUM($F$5:$F$12)=0,"",F9/SUM($F$5:$F$12))</f>
        <v>0.0569620253164557</v>
      </c>
      <c r="L9" s="8" t="s">
        <v>176</v>
      </c>
    </row>
    <row r="10" customFormat="false" ht="15" hidden="false" customHeight="false" outlineLevel="0" collapsed="false">
      <c r="A10" s="8" t="s">
        <v>177</v>
      </c>
      <c r="B10" s="8" t="s">
        <v>178</v>
      </c>
      <c r="C10" s="8" t="s">
        <v>156</v>
      </c>
      <c r="D10" s="19" t="n">
        <v>45</v>
      </c>
      <c r="E10" s="8" t="s">
        <v>179</v>
      </c>
      <c r="F10" s="20" t="n">
        <v>51</v>
      </c>
      <c r="G10" s="21" t="n">
        <v>0.0023</v>
      </c>
      <c r="H10" s="22" t="n">
        <v>0.41</v>
      </c>
      <c r="I10" s="9" t="s">
        <v>175</v>
      </c>
      <c r="J10" s="24" t="n">
        <f aca="false">G10</f>
        <v>0.0023</v>
      </c>
      <c r="K10" s="25" t="n">
        <f aca="false">IF(SUM($F$5:$F$12)=0,"",F10/SUM($F$5:$F$12))</f>
        <v>0.107594936708861</v>
      </c>
      <c r="L10" s="8" t="s">
        <v>180</v>
      </c>
    </row>
    <row r="11" customFormat="false" ht="15" hidden="false" customHeight="false" outlineLevel="0" collapsed="false">
      <c r="A11" s="8" t="s">
        <v>181</v>
      </c>
      <c r="B11" s="8" t="s">
        <v>182</v>
      </c>
      <c r="C11" s="8" t="s">
        <v>156</v>
      </c>
      <c r="D11" s="19" t="n">
        <v>50</v>
      </c>
      <c r="E11" s="8" t="s">
        <v>183</v>
      </c>
      <c r="F11" s="20" t="n">
        <v>44</v>
      </c>
      <c r="G11" s="21" t="n">
        <v>-0.0019</v>
      </c>
      <c r="H11" s="22"/>
      <c r="I11" s="23" t="s">
        <v>158</v>
      </c>
      <c r="J11" s="24" t="n">
        <f aca="false">G11</f>
        <v>-0.0019</v>
      </c>
      <c r="K11" s="25" t="n">
        <f aca="false">IF(SUM($F$5:$F$12)=0,"",F11/SUM($F$5:$F$12))</f>
        <v>0.0928270042194093</v>
      </c>
      <c r="L11" s="8" t="s">
        <v>184</v>
      </c>
    </row>
    <row r="12" customFormat="false" ht="15" hidden="false" customHeight="false" outlineLevel="0" collapsed="false">
      <c r="A12" s="8" t="s">
        <v>185</v>
      </c>
      <c r="B12" s="8" t="s">
        <v>186</v>
      </c>
      <c r="C12" s="8" t="s">
        <v>156</v>
      </c>
      <c r="D12" s="19" t="n">
        <v>60</v>
      </c>
      <c r="E12" s="8" t="s">
        <v>174</v>
      </c>
      <c r="F12" s="20" t="n">
        <v>28</v>
      </c>
      <c r="G12" s="21" t="n">
        <v>-0.0037</v>
      </c>
      <c r="H12" s="22"/>
      <c r="I12" s="23" t="s">
        <v>158</v>
      </c>
      <c r="J12" s="24" t="n">
        <f aca="false">G12</f>
        <v>-0.0037</v>
      </c>
      <c r="K12" s="25" t="n">
        <f aca="false">IF(SUM($F$5:$F$12)=0,"",F12/SUM($F$5:$F$12))</f>
        <v>0.0590717299578059</v>
      </c>
      <c r="L12" s="8" t="s">
        <v>187</v>
      </c>
    </row>
    <row r="13" customFormat="false" ht="15" hidden="false" customHeight="false" outlineLevel="0" collapsed="false">
      <c r="A13" s="26" t="s">
        <v>188</v>
      </c>
      <c r="B13" s="26"/>
      <c r="C13" s="26"/>
      <c r="D13" s="26"/>
      <c r="E13" s="26"/>
      <c r="F13" s="27" t="n">
        <f aca="false">SUM(F5:F12)</f>
        <v>474</v>
      </c>
      <c r="G13" s="28" t="n">
        <f aca="false">SUMPRODUCT(F5:F12,G5:G12)/F13</f>
        <v>0.00582742616033755</v>
      </c>
      <c r="H13" s="26"/>
      <c r="I13" s="26"/>
      <c r="J13" s="26"/>
      <c r="K13" s="29" t="n">
        <f aca="false">SUM(K5:K12)</f>
        <v>1</v>
      </c>
      <c r="L13" s="26" t="s">
        <v>189</v>
      </c>
    </row>
    <row r="15" customFormat="false" ht="15" hidden="false" customHeight="false" outlineLevel="0" collapsed="false">
      <c r="A15" s="6" t="s">
        <v>190</v>
      </c>
    </row>
    <row r="16" customFormat="false" ht="48" hidden="false" customHeight="true" outlineLevel="0" collapsed="false">
      <c r="A16" s="30" t="s">
        <v>191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</row>
    <row r="18" customFormat="false" ht="15" hidden="false" customHeight="false" outlineLevel="0" collapsed="false">
      <c r="A18" s="31" t="s">
        <v>192</v>
      </c>
    </row>
    <row r="19" customFormat="false" ht="15" hidden="false" customHeight="false" outlineLevel="0" collapsed="false">
      <c r="A19" s="3" t="s">
        <v>193</v>
      </c>
      <c r="B19" s="3" t="s">
        <v>142</v>
      </c>
      <c r="C19" s="3" t="s">
        <v>147</v>
      </c>
      <c r="D19" s="3" t="s">
        <v>148</v>
      </c>
      <c r="E19" s="3" t="s">
        <v>194</v>
      </c>
      <c r="F19" s="3" t="s">
        <v>195</v>
      </c>
    </row>
    <row r="20" customFormat="false" ht="15" hidden="false" customHeight="false" outlineLevel="0" collapsed="false">
      <c r="A20" s="16" t="s">
        <v>196</v>
      </c>
      <c r="B20" s="16" t="s">
        <v>197</v>
      </c>
      <c r="C20" s="32" t="n">
        <v>25</v>
      </c>
      <c r="D20" s="33" t="n">
        <v>0.0075</v>
      </c>
      <c r="E20" s="34" t="n">
        <v>0.52</v>
      </c>
      <c r="F20" s="35" t="n">
        <f aca="false">D20-G9</f>
        <v>0.0048</v>
      </c>
    </row>
  </sheetData>
  <autoFilter ref="A4:L12"/>
  <mergeCells count="3">
    <mergeCell ref="A2:L2"/>
    <mergeCell ref="A13:E13"/>
    <mergeCell ref="A16:L16"/>
  </mergeCell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&amp;LSOL grid 4h&amp;RClayten Fields — squeeze study — 2026-09-30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BD3"/>
    <pageSetUpPr fitToPage="true"/>
  </sheetPr>
  <dimension ref="A1:L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8"/>
    <col collapsed="false" customWidth="true" hidden="false" outlineLevel="0" max="7" min="7" style="0" width="14"/>
    <col collapsed="false" customWidth="true" hidden="false" outlineLevel="0" max="9" min="8" style="0" width="16"/>
    <col collapsed="false" customWidth="true" hidden="false" outlineLevel="0" max="10" min="10" style="0" width="12"/>
    <col collapsed="false" customWidth="true" hidden="false" outlineLevel="0" max="11" min="11" style="0" width="14"/>
    <col collapsed="false" customWidth="true" hidden="false" outlineLevel="0" max="12" min="12" style="0" width="62"/>
  </cols>
  <sheetData>
    <row r="1" customFormat="false" ht="15" hidden="false" customHeight="false" outlineLevel="0" collapsed="false">
      <c r="A1" s="12" t="s">
        <v>198</v>
      </c>
    </row>
    <row r="2" customFormat="false" ht="15" hidden="false" customHeight="false" outlineLevel="0" collapsed="false">
      <c r="A2" s="2" t="s">
        <v>199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15" hidden="false" customHeight="false" outlineLevel="0" collapsed="false">
      <c r="A4" s="3" t="s">
        <v>142</v>
      </c>
      <c r="B4" s="3" t="s">
        <v>143</v>
      </c>
      <c r="C4" s="3" t="s">
        <v>144</v>
      </c>
      <c r="D4" s="3" t="s">
        <v>145</v>
      </c>
      <c r="E4" s="3" t="s">
        <v>146</v>
      </c>
      <c r="F4" s="3" t="s">
        <v>147</v>
      </c>
      <c r="G4" s="3" t="s">
        <v>148</v>
      </c>
      <c r="H4" s="3" t="s">
        <v>149</v>
      </c>
      <c r="I4" s="3" t="s">
        <v>150</v>
      </c>
      <c r="J4" s="3" t="s">
        <v>151</v>
      </c>
      <c r="K4" s="3" t="s">
        <v>152</v>
      </c>
      <c r="L4" s="3" t="s">
        <v>153</v>
      </c>
    </row>
    <row r="5" customFormat="false" ht="15" hidden="false" customHeight="false" outlineLevel="0" collapsed="false">
      <c r="A5" s="8" t="s">
        <v>154</v>
      </c>
      <c r="B5" s="8" t="s">
        <v>155</v>
      </c>
      <c r="C5" s="8" t="s">
        <v>156</v>
      </c>
      <c r="D5" s="19" t="n">
        <v>-80</v>
      </c>
      <c r="E5" s="8" t="s">
        <v>157</v>
      </c>
      <c r="F5" s="20" t="n">
        <v>142</v>
      </c>
      <c r="G5" s="21" t="n">
        <v>0.0063</v>
      </c>
      <c r="H5" s="22"/>
      <c r="I5" s="23" t="s">
        <v>158</v>
      </c>
      <c r="J5" s="24" t="n">
        <f aca="false">G5</f>
        <v>0.0063</v>
      </c>
      <c r="K5" s="25" t="n">
        <f aca="false">IF(SUM($F$5:$F$12)=0,"",F5/SUM($F$5:$F$12))</f>
        <v>0.29769392033543</v>
      </c>
      <c r="L5" s="8" t="s">
        <v>200</v>
      </c>
    </row>
    <row r="6" customFormat="false" ht="15" hidden="false" customHeight="false" outlineLevel="0" collapsed="false">
      <c r="A6" s="8" t="s">
        <v>167</v>
      </c>
      <c r="B6" s="8" t="s">
        <v>168</v>
      </c>
      <c r="C6" s="8" t="s">
        <v>156</v>
      </c>
      <c r="D6" s="19" t="n">
        <v>-40</v>
      </c>
      <c r="E6" s="8" t="s">
        <v>169</v>
      </c>
      <c r="F6" s="20" t="n">
        <v>122</v>
      </c>
      <c r="G6" s="21" t="n">
        <v>0.0067</v>
      </c>
      <c r="H6" s="22"/>
      <c r="I6" s="23" t="s">
        <v>158</v>
      </c>
      <c r="J6" s="24" t="n">
        <f aca="false">G6</f>
        <v>0.0067</v>
      </c>
      <c r="K6" s="25" t="n">
        <f aca="false">IF(SUM($F$5:$F$12)=0,"",F6/SUM($F$5:$F$12))</f>
        <v>0.255765199161426</v>
      </c>
      <c r="L6" s="8" t="s">
        <v>201</v>
      </c>
    </row>
    <row r="7" customFormat="false" ht="15" hidden="false" customHeight="false" outlineLevel="0" collapsed="false">
      <c r="A7" s="8" t="s">
        <v>164</v>
      </c>
      <c r="B7" s="8" t="s">
        <v>165</v>
      </c>
      <c r="C7" s="8" t="s">
        <v>156</v>
      </c>
      <c r="D7" s="19" t="n">
        <v>-50</v>
      </c>
      <c r="E7" s="8" t="s">
        <v>157</v>
      </c>
      <c r="F7" s="20" t="n">
        <v>95</v>
      </c>
      <c r="G7" s="21" t="n">
        <v>0.0051</v>
      </c>
      <c r="H7" s="22"/>
      <c r="I7" s="23" t="s">
        <v>158</v>
      </c>
      <c r="J7" s="24" t="n">
        <f aca="false">G7</f>
        <v>0.0051</v>
      </c>
      <c r="K7" s="25" t="n">
        <f aca="false">IF(SUM($F$5:$F$12)=0,"",F7/SUM($F$5:$F$12))</f>
        <v>0.19916142557652</v>
      </c>
      <c r="L7" s="8" t="s">
        <v>202</v>
      </c>
    </row>
    <row r="8" customFormat="false" ht="15" hidden="false" customHeight="false" outlineLevel="0" collapsed="false">
      <c r="A8" s="8" t="s">
        <v>160</v>
      </c>
      <c r="B8" s="8" t="s">
        <v>161</v>
      </c>
      <c r="C8" s="8" t="s">
        <v>156</v>
      </c>
      <c r="D8" s="19" t="n">
        <v>-85</v>
      </c>
      <c r="E8" s="8" t="s">
        <v>162</v>
      </c>
      <c r="F8" s="20" t="n">
        <v>78</v>
      </c>
      <c r="G8" s="21" t="n">
        <v>0.004</v>
      </c>
      <c r="H8" s="22"/>
      <c r="I8" s="23" t="s">
        <v>158</v>
      </c>
      <c r="J8" s="24" t="n">
        <f aca="false">G8</f>
        <v>0.004</v>
      </c>
      <c r="K8" s="25" t="n">
        <f aca="false">IF(SUM($F$5:$F$12)=0,"",F8/SUM($F$5:$F$12))</f>
        <v>0.163522012578616</v>
      </c>
      <c r="L8" s="8" t="s">
        <v>203</v>
      </c>
    </row>
    <row r="9" customFormat="false" ht="15" hidden="false" customHeight="false" outlineLevel="0" collapsed="false">
      <c r="A9" s="8" t="s">
        <v>172</v>
      </c>
      <c r="B9" s="8" t="s">
        <v>173</v>
      </c>
      <c r="C9" s="8" t="s">
        <v>156</v>
      </c>
      <c r="D9" s="19" t="n">
        <v>60</v>
      </c>
      <c r="E9" s="8" t="s">
        <v>174</v>
      </c>
      <c r="F9" s="20" t="n">
        <v>12</v>
      </c>
      <c r="G9" s="21" t="n">
        <v>0.0097</v>
      </c>
      <c r="H9" s="22" t="n">
        <v>0.58</v>
      </c>
      <c r="I9" s="9" t="s">
        <v>204</v>
      </c>
      <c r="J9" s="24" t="n">
        <f aca="false">G9</f>
        <v>0.0097</v>
      </c>
      <c r="K9" s="25" t="n">
        <f aca="false">IF(SUM($F$5:$F$12)=0,"",F9/SUM($F$5:$F$12))</f>
        <v>0.0251572327044025</v>
      </c>
      <c r="L9" s="8" t="s">
        <v>205</v>
      </c>
    </row>
    <row r="10" customFormat="false" ht="15" hidden="false" customHeight="false" outlineLevel="0" collapsed="false">
      <c r="A10" s="8" t="s">
        <v>177</v>
      </c>
      <c r="B10" s="8" t="s">
        <v>178</v>
      </c>
      <c r="C10" s="8" t="s">
        <v>156</v>
      </c>
      <c r="D10" s="19" t="n">
        <v>45</v>
      </c>
      <c r="E10" s="8" t="s">
        <v>206</v>
      </c>
      <c r="F10" s="20" t="n">
        <v>13</v>
      </c>
      <c r="G10" s="21" t="n">
        <v>0.0045</v>
      </c>
      <c r="H10" s="22"/>
      <c r="I10" s="9" t="s">
        <v>207</v>
      </c>
      <c r="J10" s="24" t="n">
        <f aca="false">G10</f>
        <v>0.0045</v>
      </c>
      <c r="K10" s="25" t="n">
        <f aca="false">IF(SUM($F$5:$F$12)=0,"",F10/SUM($F$5:$F$12))</f>
        <v>0.0272536687631027</v>
      </c>
      <c r="L10" s="8" t="s">
        <v>208</v>
      </c>
    </row>
    <row r="11" customFormat="false" ht="15" hidden="false" customHeight="false" outlineLevel="0" collapsed="false">
      <c r="A11" s="8" t="s">
        <v>181</v>
      </c>
      <c r="B11" s="8" t="s">
        <v>182</v>
      </c>
      <c r="C11" s="8" t="s">
        <v>156</v>
      </c>
      <c r="D11" s="19" t="n">
        <v>50</v>
      </c>
      <c r="E11" s="8" t="s">
        <v>183</v>
      </c>
      <c r="F11" s="20" t="n">
        <v>7</v>
      </c>
      <c r="G11" s="21" t="n">
        <v>0.0055</v>
      </c>
      <c r="H11" s="22"/>
      <c r="I11" s="9" t="s">
        <v>207</v>
      </c>
      <c r="J11" s="24" t="n">
        <f aca="false">G11</f>
        <v>0.0055</v>
      </c>
      <c r="K11" s="25" t="n">
        <f aca="false">IF(SUM($F$5:$F$12)=0,"",F11/SUM($F$5:$F$12))</f>
        <v>0.0146750524109015</v>
      </c>
      <c r="L11" s="8" t="s">
        <v>209</v>
      </c>
    </row>
    <row r="12" customFormat="false" ht="15" hidden="false" customHeight="false" outlineLevel="0" collapsed="false">
      <c r="A12" s="8" t="s">
        <v>185</v>
      </c>
      <c r="B12" s="8" t="s">
        <v>186</v>
      </c>
      <c r="C12" s="8" t="s">
        <v>156</v>
      </c>
      <c r="D12" s="19" t="n">
        <v>60</v>
      </c>
      <c r="E12" s="8" t="s">
        <v>174</v>
      </c>
      <c r="F12" s="20" t="n">
        <v>8</v>
      </c>
      <c r="G12" s="21" t="n">
        <v>-0.0083</v>
      </c>
      <c r="H12" s="22"/>
      <c r="I12" s="23" t="s">
        <v>158</v>
      </c>
      <c r="J12" s="24" t="n">
        <f aca="false">G12</f>
        <v>-0.0083</v>
      </c>
      <c r="K12" s="25" t="n">
        <f aca="false">IF(SUM($F$5:$F$12)=0,"",F12/SUM($F$5:$F$12))</f>
        <v>0.0167714884696017</v>
      </c>
      <c r="L12" s="8" t="s">
        <v>210</v>
      </c>
    </row>
    <row r="13" customFormat="false" ht="15" hidden="false" customHeight="false" outlineLevel="0" collapsed="false">
      <c r="A13" s="26" t="s">
        <v>188</v>
      </c>
      <c r="B13" s="26"/>
      <c r="C13" s="26"/>
      <c r="D13" s="26"/>
      <c r="E13" s="26"/>
      <c r="F13" s="27" t="n">
        <f aca="false">SUM(F5:F12)</f>
        <v>477</v>
      </c>
      <c r="G13" s="28" t="n">
        <f aca="false">SUMPRODUCT(F5:F12,G5:G12)/F13</f>
        <v>0.00556708595387841</v>
      </c>
      <c r="H13" s="26"/>
      <c r="I13" s="26"/>
      <c r="J13" s="26"/>
      <c r="K13" s="29" t="n">
        <f aca="false">SUM(K5:K12)</f>
        <v>1</v>
      </c>
      <c r="L13" s="26"/>
    </row>
    <row r="15" customFormat="false" ht="36" hidden="false" customHeight="true" outlineLevel="0" collapsed="false">
      <c r="A15" s="36" t="s">
        <v>211</v>
      </c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</row>
  </sheetData>
  <autoFilter ref="A4:L12"/>
  <mergeCells count="3">
    <mergeCell ref="A2:L2"/>
    <mergeCell ref="A13:E13"/>
    <mergeCell ref="A15:L15"/>
  </mergeCell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&amp;LETH grid 4h&amp;RClayten Fields — squeeze study — 2026-09-30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A6B00"/>
    <pageSetUpPr fitToPage="true"/>
  </sheetPr>
  <dimension ref="A1:K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4"/>
    <col collapsed="false" customWidth="true" hidden="false" outlineLevel="0" max="3" min="3" style="0" width="36"/>
    <col collapsed="false" customWidth="true" hidden="false" outlineLevel="0" max="4" min="4" style="0" width="16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10"/>
    <col collapsed="false" customWidth="true" hidden="false" outlineLevel="0" max="10" min="8" style="0" width="14"/>
    <col collapsed="false" customWidth="true" hidden="false" outlineLevel="0" max="11" min="11" style="0" width="62"/>
  </cols>
  <sheetData>
    <row r="1" customFormat="false" ht="15" hidden="false" customHeight="false" outlineLevel="0" collapsed="false">
      <c r="A1" s="12" t="s">
        <v>212</v>
      </c>
    </row>
    <row r="2" customFormat="false" ht="36" hidden="false" customHeight="true" outlineLevel="0" collapsed="false">
      <c r="A2" s="2" t="s">
        <v>213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15" hidden="false" customHeight="false" outlineLevel="0" collapsed="false">
      <c r="A4" s="3" t="s">
        <v>214</v>
      </c>
      <c r="B4" s="3" t="s">
        <v>215</v>
      </c>
      <c r="C4" s="3" t="s">
        <v>216</v>
      </c>
      <c r="D4" s="3" t="s">
        <v>217</v>
      </c>
      <c r="E4" s="3" t="s">
        <v>218</v>
      </c>
      <c r="F4" s="3" t="s">
        <v>219</v>
      </c>
      <c r="G4" s="3" t="s">
        <v>220</v>
      </c>
      <c r="H4" s="3" t="s">
        <v>221</v>
      </c>
      <c r="I4" s="3" t="s">
        <v>222</v>
      </c>
      <c r="J4" s="3" t="s">
        <v>223</v>
      </c>
      <c r="K4" s="3" t="s">
        <v>224</v>
      </c>
    </row>
    <row r="5" customFormat="false" ht="48" hidden="false" customHeight="true" outlineLevel="0" collapsed="false">
      <c r="A5" s="8" t="s">
        <v>225</v>
      </c>
      <c r="B5" s="8" t="s">
        <v>226</v>
      </c>
      <c r="C5" s="8" t="s">
        <v>227</v>
      </c>
      <c r="D5" s="8" t="s">
        <v>228</v>
      </c>
      <c r="E5" s="8"/>
      <c r="F5" s="21" t="n">
        <v>-0.0045</v>
      </c>
      <c r="G5" s="8"/>
      <c r="H5" s="21" t="n">
        <v>0</v>
      </c>
      <c r="I5" s="8"/>
      <c r="J5" s="8"/>
      <c r="K5" s="37" t="s">
        <v>229</v>
      </c>
    </row>
    <row r="6" customFormat="false" ht="48" hidden="false" customHeight="true" outlineLevel="0" collapsed="false">
      <c r="A6" s="8" t="s">
        <v>230</v>
      </c>
      <c r="B6" s="8" t="s">
        <v>226</v>
      </c>
      <c r="C6" s="8" t="s">
        <v>231</v>
      </c>
      <c r="D6" s="8" t="s">
        <v>162</v>
      </c>
      <c r="E6" s="13" t="n">
        <v>32</v>
      </c>
      <c r="F6" s="21" t="n">
        <v>0.0085</v>
      </c>
      <c r="G6" s="13" t="n">
        <v>33</v>
      </c>
      <c r="H6" s="21" t="n">
        <v>0.0034</v>
      </c>
      <c r="I6" s="21" t="n">
        <v>0.0059</v>
      </c>
      <c r="J6" s="22" t="n">
        <v>0.6</v>
      </c>
      <c r="K6" s="38" t="s">
        <v>232</v>
      </c>
    </row>
    <row r="7" customFormat="false" ht="48" hidden="false" customHeight="true" outlineLevel="0" collapsed="false">
      <c r="A7" s="8" t="s">
        <v>233</v>
      </c>
      <c r="B7" s="8" t="s">
        <v>234</v>
      </c>
      <c r="C7" s="8" t="s">
        <v>235</v>
      </c>
      <c r="D7" s="8" t="s">
        <v>162</v>
      </c>
      <c r="E7" s="8"/>
      <c r="F7" s="21" t="n">
        <v>0.0044</v>
      </c>
      <c r="G7" s="8"/>
      <c r="H7" s="21" t="n">
        <v>0.002</v>
      </c>
      <c r="I7" s="21" t="n">
        <v>0.0032</v>
      </c>
      <c r="J7" s="8"/>
      <c r="K7" s="38" t="s">
        <v>236</v>
      </c>
    </row>
    <row r="8" customFormat="false" ht="48" hidden="false" customHeight="true" outlineLevel="0" collapsed="false">
      <c r="A8" s="8" t="s">
        <v>237</v>
      </c>
      <c r="B8" s="8" t="s">
        <v>234</v>
      </c>
      <c r="C8" s="8" t="s">
        <v>227</v>
      </c>
      <c r="D8" s="8" t="s">
        <v>174</v>
      </c>
      <c r="E8" s="8"/>
      <c r="F8" s="21" t="n">
        <v>0.0013</v>
      </c>
      <c r="G8" s="8"/>
      <c r="H8" s="21" t="n">
        <v>-0.0132</v>
      </c>
      <c r="I8" s="8"/>
      <c r="J8" s="8"/>
      <c r="K8" s="37" t="s">
        <v>238</v>
      </c>
    </row>
    <row r="9" customFormat="false" ht="48" hidden="false" customHeight="true" outlineLevel="0" collapsed="false">
      <c r="A9" s="8" t="s">
        <v>239</v>
      </c>
      <c r="B9" s="8" t="s">
        <v>240</v>
      </c>
      <c r="C9" s="8" t="s">
        <v>241</v>
      </c>
      <c r="D9" s="8" t="s">
        <v>242</v>
      </c>
      <c r="E9" s="8"/>
      <c r="F9" s="8"/>
      <c r="G9" s="8"/>
      <c r="H9" s="8"/>
      <c r="I9" s="8"/>
      <c r="J9" s="22" t="n">
        <v>0.51</v>
      </c>
      <c r="K9" s="39" t="s">
        <v>243</v>
      </c>
    </row>
    <row r="11" customFormat="false" ht="15" hidden="false" customHeight="false" outlineLevel="0" collapsed="false">
      <c r="A11" s="0" t="s">
        <v>244</v>
      </c>
      <c r="B11" s="40" t="n">
        <f aca="false">(E6*F6+G6*H6)/(E6+G6)</f>
        <v>0.00591076923076923</v>
      </c>
      <c r="C11" s="0" t="s">
        <v>245</v>
      </c>
    </row>
    <row r="13" customFormat="false" ht="15" hidden="false" customHeight="false" outlineLevel="0" collapsed="false">
      <c r="A13" s="6" t="s">
        <v>246</v>
      </c>
    </row>
    <row r="14" customFormat="false" ht="36" hidden="false" customHeight="true" outlineLevel="0" collapsed="false">
      <c r="A14" s="41" t="s">
        <v>247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</row>
  </sheetData>
  <autoFilter ref="A4:K9"/>
  <mergeCells count="2">
    <mergeCell ref="A2:K2"/>
    <mergeCell ref="A14:K14"/>
  </mergeCell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&amp;LLevel breaks&amp;RClayten Fields — squeeze study — 2026-09-30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1A2FF"/>
    <pageSetUpPr fitToPage="true"/>
  </sheetPr>
  <dimension ref="A1:G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2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14"/>
  </cols>
  <sheetData>
    <row r="1" customFormat="false" ht="15" hidden="false" customHeight="false" outlineLevel="0" collapsed="false">
      <c r="A1" s="12" t="s">
        <v>34</v>
      </c>
    </row>
    <row r="2" customFormat="false" ht="15" hidden="false" customHeight="false" outlineLevel="0" collapsed="false">
      <c r="A2" s="2" t="s">
        <v>248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3" t="s">
        <v>249</v>
      </c>
      <c r="B4" s="3" t="s">
        <v>193</v>
      </c>
      <c r="C4" s="3" t="s">
        <v>142</v>
      </c>
      <c r="D4" s="3" t="s">
        <v>147</v>
      </c>
      <c r="E4" s="3" t="s">
        <v>148</v>
      </c>
      <c r="F4" s="3" t="s">
        <v>194</v>
      </c>
      <c r="G4" s="3" t="s">
        <v>20</v>
      </c>
    </row>
    <row r="5" customFormat="false" ht="15" hidden="false" customHeight="false" outlineLevel="0" collapsed="false">
      <c r="A5" s="16" t="s">
        <v>250</v>
      </c>
      <c r="B5" s="16" t="s">
        <v>251</v>
      </c>
      <c r="C5" s="16" t="s">
        <v>154</v>
      </c>
      <c r="D5" s="42"/>
      <c r="E5" s="35"/>
      <c r="F5" s="43"/>
      <c r="G5" s="44" t="s">
        <v>252</v>
      </c>
    </row>
    <row r="6" customFormat="false" ht="15" hidden="false" customHeight="false" outlineLevel="0" collapsed="false">
      <c r="A6" s="16" t="s">
        <v>250</v>
      </c>
      <c r="B6" s="16" t="s">
        <v>251</v>
      </c>
      <c r="C6" s="16" t="s">
        <v>172</v>
      </c>
      <c r="D6" s="42"/>
      <c r="E6" s="35"/>
      <c r="F6" s="43"/>
      <c r="G6" s="44" t="s">
        <v>252</v>
      </c>
    </row>
    <row r="7" customFormat="false" ht="15" hidden="false" customHeight="false" outlineLevel="0" collapsed="false">
      <c r="A7" s="16" t="s">
        <v>250</v>
      </c>
      <c r="B7" s="16" t="s">
        <v>251</v>
      </c>
      <c r="C7" s="16" t="s">
        <v>164</v>
      </c>
      <c r="D7" s="42"/>
      <c r="E7" s="35"/>
      <c r="F7" s="43"/>
      <c r="G7" s="44" t="s">
        <v>252</v>
      </c>
    </row>
    <row r="8" customFormat="false" ht="15" hidden="false" customHeight="false" outlineLevel="0" collapsed="false">
      <c r="A8" s="16" t="s">
        <v>250</v>
      </c>
      <c r="B8" s="16" t="s">
        <v>251</v>
      </c>
      <c r="C8" s="16" t="s">
        <v>181</v>
      </c>
      <c r="D8" s="42"/>
      <c r="E8" s="35"/>
      <c r="F8" s="43"/>
      <c r="G8" s="44" t="s">
        <v>252</v>
      </c>
    </row>
    <row r="9" customFormat="false" ht="15" hidden="false" customHeight="false" outlineLevel="0" collapsed="false">
      <c r="A9" s="16" t="s">
        <v>250</v>
      </c>
      <c r="B9" s="16" t="s">
        <v>251</v>
      </c>
      <c r="C9" s="16" t="s">
        <v>160</v>
      </c>
      <c r="D9" s="42"/>
      <c r="E9" s="35"/>
      <c r="F9" s="43"/>
      <c r="G9" s="44" t="s">
        <v>252</v>
      </c>
    </row>
    <row r="10" customFormat="false" ht="15" hidden="false" customHeight="false" outlineLevel="0" collapsed="false">
      <c r="A10" s="16" t="s">
        <v>250</v>
      </c>
      <c r="B10" s="16" t="s">
        <v>251</v>
      </c>
      <c r="C10" s="16" t="s">
        <v>177</v>
      </c>
      <c r="D10" s="42"/>
      <c r="E10" s="35"/>
      <c r="F10" s="43"/>
      <c r="G10" s="44" t="s">
        <v>252</v>
      </c>
    </row>
    <row r="11" customFormat="false" ht="15" hidden="false" customHeight="false" outlineLevel="0" collapsed="false">
      <c r="A11" s="16" t="s">
        <v>250</v>
      </c>
      <c r="B11" s="16" t="s">
        <v>251</v>
      </c>
      <c r="C11" s="16" t="s">
        <v>167</v>
      </c>
      <c r="D11" s="42"/>
      <c r="E11" s="35"/>
      <c r="F11" s="43"/>
      <c r="G11" s="44" t="s">
        <v>252</v>
      </c>
    </row>
    <row r="12" customFormat="false" ht="15" hidden="false" customHeight="false" outlineLevel="0" collapsed="false">
      <c r="A12" s="16" t="s">
        <v>250</v>
      </c>
      <c r="B12" s="16" t="s">
        <v>251</v>
      </c>
      <c r="C12" s="16" t="s">
        <v>185</v>
      </c>
      <c r="D12" s="42"/>
      <c r="E12" s="35"/>
      <c r="F12" s="43"/>
      <c r="G12" s="44" t="s">
        <v>252</v>
      </c>
    </row>
    <row r="13" customFormat="false" ht="15" hidden="false" customHeight="false" outlineLevel="0" collapsed="false">
      <c r="A13" s="16" t="s">
        <v>250</v>
      </c>
      <c r="B13" s="16" t="s">
        <v>56</v>
      </c>
      <c r="C13" s="16" t="s">
        <v>154</v>
      </c>
      <c r="D13" s="45" t="n">
        <v>97</v>
      </c>
      <c r="E13" s="33" t="n">
        <v>0.0075</v>
      </c>
      <c r="F13" s="34"/>
      <c r="G13" s="46" t="s">
        <v>29</v>
      </c>
    </row>
    <row r="14" customFormat="false" ht="15" hidden="false" customHeight="false" outlineLevel="0" collapsed="false">
      <c r="A14" s="16" t="s">
        <v>250</v>
      </c>
      <c r="B14" s="16" t="s">
        <v>56</v>
      </c>
      <c r="C14" s="16" t="s">
        <v>172</v>
      </c>
      <c r="D14" s="45" t="n">
        <v>27</v>
      </c>
      <c r="E14" s="33" t="n">
        <v>0.0027</v>
      </c>
      <c r="F14" s="34" t="n">
        <v>0.44</v>
      </c>
      <c r="G14" s="46" t="s">
        <v>29</v>
      </c>
    </row>
    <row r="15" customFormat="false" ht="15" hidden="false" customHeight="false" outlineLevel="0" collapsed="false">
      <c r="A15" s="16" t="s">
        <v>250</v>
      </c>
      <c r="B15" s="16" t="s">
        <v>56</v>
      </c>
      <c r="C15" s="16" t="s">
        <v>164</v>
      </c>
      <c r="D15" s="45" t="n">
        <v>79</v>
      </c>
      <c r="E15" s="33" t="n">
        <v>0.0131</v>
      </c>
      <c r="F15" s="34"/>
      <c r="G15" s="46" t="s">
        <v>29</v>
      </c>
    </row>
    <row r="16" customFormat="false" ht="15" hidden="false" customHeight="false" outlineLevel="0" collapsed="false">
      <c r="A16" s="16" t="s">
        <v>250</v>
      </c>
      <c r="B16" s="16" t="s">
        <v>56</v>
      </c>
      <c r="C16" s="16" t="s">
        <v>181</v>
      </c>
      <c r="D16" s="45" t="n">
        <v>44</v>
      </c>
      <c r="E16" s="33" t="n">
        <v>-0.0019</v>
      </c>
      <c r="F16" s="34"/>
      <c r="G16" s="46" t="s">
        <v>29</v>
      </c>
    </row>
    <row r="17" customFormat="false" ht="15" hidden="false" customHeight="false" outlineLevel="0" collapsed="false">
      <c r="A17" s="16" t="s">
        <v>250</v>
      </c>
      <c r="B17" s="16" t="s">
        <v>56</v>
      </c>
      <c r="C17" s="16" t="s">
        <v>160</v>
      </c>
      <c r="D17" s="45" t="n">
        <v>60</v>
      </c>
      <c r="E17" s="33" t="n">
        <v>0.0106</v>
      </c>
      <c r="F17" s="34"/>
      <c r="G17" s="46" t="s">
        <v>29</v>
      </c>
    </row>
    <row r="18" customFormat="false" ht="15" hidden="false" customHeight="false" outlineLevel="0" collapsed="false">
      <c r="A18" s="16" t="s">
        <v>250</v>
      </c>
      <c r="B18" s="16" t="s">
        <v>56</v>
      </c>
      <c r="C18" s="16" t="s">
        <v>177</v>
      </c>
      <c r="D18" s="45" t="n">
        <v>51</v>
      </c>
      <c r="E18" s="33" t="n">
        <v>0.0023</v>
      </c>
      <c r="F18" s="34" t="n">
        <v>0.41</v>
      </c>
      <c r="G18" s="46" t="s">
        <v>29</v>
      </c>
    </row>
    <row r="19" customFormat="false" ht="15" hidden="false" customHeight="false" outlineLevel="0" collapsed="false">
      <c r="A19" s="16" t="s">
        <v>250</v>
      </c>
      <c r="B19" s="16" t="s">
        <v>56</v>
      </c>
      <c r="C19" s="16" t="s">
        <v>167</v>
      </c>
      <c r="D19" s="45" t="n">
        <v>88</v>
      </c>
      <c r="E19" s="33" t="n">
        <v>0.0041</v>
      </c>
      <c r="F19" s="34"/>
      <c r="G19" s="46" t="s">
        <v>29</v>
      </c>
    </row>
    <row r="20" customFormat="false" ht="15" hidden="false" customHeight="false" outlineLevel="0" collapsed="false">
      <c r="A20" s="16" t="s">
        <v>250</v>
      </c>
      <c r="B20" s="16" t="s">
        <v>56</v>
      </c>
      <c r="C20" s="16" t="s">
        <v>185</v>
      </c>
      <c r="D20" s="45" t="n">
        <v>28</v>
      </c>
      <c r="E20" s="33" t="n">
        <v>-0.0037</v>
      </c>
      <c r="F20" s="34"/>
      <c r="G20" s="46" t="s">
        <v>29</v>
      </c>
    </row>
    <row r="21" customFormat="false" ht="15" hidden="false" customHeight="false" outlineLevel="0" collapsed="false">
      <c r="A21" s="16" t="s">
        <v>250</v>
      </c>
      <c r="B21" s="16" t="s">
        <v>196</v>
      </c>
      <c r="C21" s="16" t="s">
        <v>154</v>
      </c>
      <c r="D21" s="42"/>
      <c r="E21" s="35"/>
      <c r="F21" s="43"/>
      <c r="G21" s="44" t="s">
        <v>252</v>
      </c>
    </row>
    <row r="22" customFormat="false" ht="15" hidden="false" customHeight="false" outlineLevel="0" collapsed="false">
      <c r="A22" s="16" t="s">
        <v>250</v>
      </c>
      <c r="B22" s="16" t="s">
        <v>196</v>
      </c>
      <c r="C22" s="16" t="s">
        <v>172</v>
      </c>
      <c r="D22" s="45" t="n">
        <v>25</v>
      </c>
      <c r="E22" s="33" t="n">
        <v>0.0075</v>
      </c>
      <c r="F22" s="34" t="n">
        <v>0.52</v>
      </c>
      <c r="G22" s="46" t="s">
        <v>29</v>
      </c>
    </row>
    <row r="23" customFormat="false" ht="15" hidden="false" customHeight="false" outlineLevel="0" collapsed="false">
      <c r="A23" s="16" t="s">
        <v>250</v>
      </c>
      <c r="B23" s="16" t="s">
        <v>196</v>
      </c>
      <c r="C23" s="16" t="s">
        <v>164</v>
      </c>
      <c r="D23" s="42"/>
      <c r="E23" s="35"/>
      <c r="F23" s="43"/>
      <c r="G23" s="44" t="s">
        <v>252</v>
      </c>
    </row>
    <row r="24" customFormat="false" ht="15" hidden="false" customHeight="false" outlineLevel="0" collapsed="false">
      <c r="A24" s="16" t="s">
        <v>250</v>
      </c>
      <c r="B24" s="16" t="s">
        <v>196</v>
      </c>
      <c r="C24" s="16" t="s">
        <v>181</v>
      </c>
      <c r="D24" s="42"/>
      <c r="E24" s="35"/>
      <c r="F24" s="43"/>
      <c r="G24" s="44" t="s">
        <v>252</v>
      </c>
    </row>
    <row r="25" customFormat="false" ht="15" hidden="false" customHeight="false" outlineLevel="0" collapsed="false">
      <c r="A25" s="16" t="s">
        <v>250</v>
      </c>
      <c r="B25" s="16" t="s">
        <v>196</v>
      </c>
      <c r="C25" s="16" t="s">
        <v>160</v>
      </c>
      <c r="D25" s="42"/>
      <c r="E25" s="35"/>
      <c r="F25" s="43"/>
      <c r="G25" s="44" t="s">
        <v>252</v>
      </c>
    </row>
    <row r="26" customFormat="false" ht="15" hidden="false" customHeight="false" outlineLevel="0" collapsed="false">
      <c r="A26" s="16" t="s">
        <v>250</v>
      </c>
      <c r="B26" s="16" t="s">
        <v>196</v>
      </c>
      <c r="C26" s="16" t="s">
        <v>177</v>
      </c>
      <c r="D26" s="42"/>
      <c r="E26" s="35"/>
      <c r="F26" s="43"/>
      <c r="G26" s="44" t="s">
        <v>252</v>
      </c>
    </row>
    <row r="27" customFormat="false" ht="15" hidden="false" customHeight="false" outlineLevel="0" collapsed="false">
      <c r="A27" s="16" t="s">
        <v>250</v>
      </c>
      <c r="B27" s="16" t="s">
        <v>196</v>
      </c>
      <c r="C27" s="16" t="s">
        <v>167</v>
      </c>
      <c r="D27" s="42"/>
      <c r="E27" s="35"/>
      <c r="F27" s="43"/>
      <c r="G27" s="44" t="s">
        <v>252</v>
      </c>
    </row>
    <row r="28" customFormat="false" ht="15" hidden="false" customHeight="false" outlineLevel="0" collapsed="false">
      <c r="A28" s="16" t="s">
        <v>250</v>
      </c>
      <c r="B28" s="16" t="s">
        <v>196</v>
      </c>
      <c r="C28" s="16" t="s">
        <v>185</v>
      </c>
      <c r="D28" s="42"/>
      <c r="E28" s="35"/>
      <c r="F28" s="43"/>
      <c r="G28" s="44" t="s">
        <v>252</v>
      </c>
    </row>
    <row r="29" customFormat="false" ht="15" hidden="false" customHeight="false" outlineLevel="0" collapsed="false">
      <c r="A29" s="16" t="s">
        <v>250</v>
      </c>
      <c r="B29" s="16" t="s">
        <v>253</v>
      </c>
      <c r="C29" s="16" t="s">
        <v>154</v>
      </c>
      <c r="D29" s="42"/>
      <c r="E29" s="35"/>
      <c r="F29" s="43"/>
      <c r="G29" s="44" t="s">
        <v>252</v>
      </c>
    </row>
    <row r="30" customFormat="false" ht="15" hidden="false" customHeight="false" outlineLevel="0" collapsed="false">
      <c r="A30" s="16" t="s">
        <v>250</v>
      </c>
      <c r="B30" s="16" t="s">
        <v>253</v>
      </c>
      <c r="C30" s="16" t="s">
        <v>172</v>
      </c>
      <c r="D30" s="42"/>
      <c r="E30" s="35"/>
      <c r="F30" s="43"/>
      <c r="G30" s="44" t="s">
        <v>252</v>
      </c>
    </row>
    <row r="31" customFormat="false" ht="15" hidden="false" customHeight="false" outlineLevel="0" collapsed="false">
      <c r="A31" s="16" t="s">
        <v>250</v>
      </c>
      <c r="B31" s="16" t="s">
        <v>253</v>
      </c>
      <c r="C31" s="16" t="s">
        <v>164</v>
      </c>
      <c r="D31" s="42"/>
      <c r="E31" s="35"/>
      <c r="F31" s="43"/>
      <c r="G31" s="44" t="s">
        <v>252</v>
      </c>
    </row>
    <row r="32" customFormat="false" ht="15" hidden="false" customHeight="false" outlineLevel="0" collapsed="false">
      <c r="A32" s="16" t="s">
        <v>250</v>
      </c>
      <c r="B32" s="16" t="s">
        <v>253</v>
      </c>
      <c r="C32" s="16" t="s">
        <v>181</v>
      </c>
      <c r="D32" s="42"/>
      <c r="E32" s="35"/>
      <c r="F32" s="43"/>
      <c r="G32" s="44" t="s">
        <v>252</v>
      </c>
    </row>
    <row r="33" customFormat="false" ht="15" hidden="false" customHeight="false" outlineLevel="0" collapsed="false">
      <c r="A33" s="16" t="s">
        <v>250</v>
      </c>
      <c r="B33" s="16" t="s">
        <v>253</v>
      </c>
      <c r="C33" s="16" t="s">
        <v>160</v>
      </c>
      <c r="D33" s="42"/>
      <c r="E33" s="35"/>
      <c r="F33" s="43"/>
      <c r="G33" s="44" t="s">
        <v>252</v>
      </c>
    </row>
    <row r="34" customFormat="false" ht="15" hidden="false" customHeight="false" outlineLevel="0" collapsed="false">
      <c r="A34" s="16" t="s">
        <v>250</v>
      </c>
      <c r="B34" s="16" t="s">
        <v>253</v>
      </c>
      <c r="C34" s="16" t="s">
        <v>177</v>
      </c>
      <c r="D34" s="42"/>
      <c r="E34" s="35"/>
      <c r="F34" s="43"/>
      <c r="G34" s="44" t="s">
        <v>252</v>
      </c>
    </row>
    <row r="35" customFormat="false" ht="15" hidden="false" customHeight="false" outlineLevel="0" collapsed="false">
      <c r="A35" s="16" t="s">
        <v>250</v>
      </c>
      <c r="B35" s="16" t="s">
        <v>253</v>
      </c>
      <c r="C35" s="16" t="s">
        <v>167</v>
      </c>
      <c r="D35" s="42"/>
      <c r="E35" s="35"/>
      <c r="F35" s="43"/>
      <c r="G35" s="44" t="s">
        <v>252</v>
      </c>
    </row>
    <row r="36" customFormat="false" ht="15" hidden="false" customHeight="false" outlineLevel="0" collapsed="false">
      <c r="A36" s="16" t="s">
        <v>250</v>
      </c>
      <c r="B36" s="16" t="s">
        <v>253</v>
      </c>
      <c r="C36" s="16" t="s">
        <v>185</v>
      </c>
      <c r="D36" s="42"/>
      <c r="E36" s="35"/>
      <c r="F36" s="43"/>
      <c r="G36" s="44" t="s">
        <v>252</v>
      </c>
    </row>
    <row r="37" customFormat="false" ht="15" hidden="false" customHeight="false" outlineLevel="0" collapsed="false">
      <c r="A37" s="16" t="s">
        <v>254</v>
      </c>
      <c r="B37" s="16" t="s">
        <v>251</v>
      </c>
      <c r="C37" s="16" t="s">
        <v>154</v>
      </c>
      <c r="D37" s="42"/>
      <c r="E37" s="35"/>
      <c r="F37" s="43"/>
      <c r="G37" s="44" t="s">
        <v>252</v>
      </c>
    </row>
    <row r="38" customFormat="false" ht="15" hidden="false" customHeight="false" outlineLevel="0" collapsed="false">
      <c r="A38" s="16" t="s">
        <v>254</v>
      </c>
      <c r="B38" s="16" t="s">
        <v>251</v>
      </c>
      <c r="C38" s="16" t="s">
        <v>172</v>
      </c>
      <c r="D38" s="42"/>
      <c r="E38" s="35"/>
      <c r="F38" s="43"/>
      <c r="G38" s="44" t="s">
        <v>252</v>
      </c>
    </row>
    <row r="39" customFormat="false" ht="15" hidden="false" customHeight="false" outlineLevel="0" collapsed="false">
      <c r="A39" s="16" t="s">
        <v>254</v>
      </c>
      <c r="B39" s="16" t="s">
        <v>251</v>
      </c>
      <c r="C39" s="16" t="s">
        <v>164</v>
      </c>
      <c r="D39" s="42"/>
      <c r="E39" s="35"/>
      <c r="F39" s="43"/>
      <c r="G39" s="44" t="s">
        <v>252</v>
      </c>
    </row>
    <row r="40" customFormat="false" ht="15" hidden="false" customHeight="false" outlineLevel="0" collapsed="false">
      <c r="A40" s="16" t="s">
        <v>254</v>
      </c>
      <c r="B40" s="16" t="s">
        <v>251</v>
      </c>
      <c r="C40" s="16" t="s">
        <v>181</v>
      </c>
      <c r="D40" s="42"/>
      <c r="E40" s="35"/>
      <c r="F40" s="43"/>
      <c r="G40" s="44" t="s">
        <v>252</v>
      </c>
    </row>
    <row r="41" customFormat="false" ht="15" hidden="false" customHeight="false" outlineLevel="0" collapsed="false">
      <c r="A41" s="16" t="s">
        <v>254</v>
      </c>
      <c r="B41" s="16" t="s">
        <v>251</v>
      </c>
      <c r="C41" s="16" t="s">
        <v>160</v>
      </c>
      <c r="D41" s="42"/>
      <c r="E41" s="35"/>
      <c r="F41" s="43"/>
      <c r="G41" s="44" t="s">
        <v>252</v>
      </c>
    </row>
    <row r="42" customFormat="false" ht="15" hidden="false" customHeight="false" outlineLevel="0" collapsed="false">
      <c r="A42" s="16" t="s">
        <v>254</v>
      </c>
      <c r="B42" s="16" t="s">
        <v>251</v>
      </c>
      <c r="C42" s="16" t="s">
        <v>177</v>
      </c>
      <c r="D42" s="42"/>
      <c r="E42" s="35"/>
      <c r="F42" s="43"/>
      <c r="G42" s="44" t="s">
        <v>252</v>
      </c>
    </row>
    <row r="43" customFormat="false" ht="15" hidden="false" customHeight="false" outlineLevel="0" collapsed="false">
      <c r="A43" s="16" t="s">
        <v>254</v>
      </c>
      <c r="B43" s="16" t="s">
        <v>251</v>
      </c>
      <c r="C43" s="16" t="s">
        <v>167</v>
      </c>
      <c r="D43" s="42"/>
      <c r="E43" s="35"/>
      <c r="F43" s="43"/>
      <c r="G43" s="44" t="s">
        <v>252</v>
      </c>
    </row>
    <row r="44" customFormat="false" ht="15" hidden="false" customHeight="false" outlineLevel="0" collapsed="false">
      <c r="A44" s="16" t="s">
        <v>254</v>
      </c>
      <c r="B44" s="16" t="s">
        <v>251</v>
      </c>
      <c r="C44" s="16" t="s">
        <v>185</v>
      </c>
      <c r="D44" s="42"/>
      <c r="E44" s="35"/>
      <c r="F44" s="43"/>
      <c r="G44" s="44" t="s">
        <v>252</v>
      </c>
    </row>
    <row r="45" customFormat="false" ht="15" hidden="false" customHeight="false" outlineLevel="0" collapsed="false">
      <c r="A45" s="16" t="s">
        <v>254</v>
      </c>
      <c r="B45" s="16" t="s">
        <v>56</v>
      </c>
      <c r="C45" s="16" t="s">
        <v>154</v>
      </c>
      <c r="D45" s="45" t="n">
        <v>142</v>
      </c>
      <c r="E45" s="33" t="n">
        <v>0.0063</v>
      </c>
      <c r="F45" s="34"/>
      <c r="G45" s="46" t="s">
        <v>29</v>
      </c>
    </row>
    <row r="46" customFormat="false" ht="15" hidden="false" customHeight="false" outlineLevel="0" collapsed="false">
      <c r="A46" s="16" t="s">
        <v>254</v>
      </c>
      <c r="B46" s="16" t="s">
        <v>56</v>
      </c>
      <c r="C46" s="16" t="s">
        <v>172</v>
      </c>
      <c r="D46" s="45" t="n">
        <v>12</v>
      </c>
      <c r="E46" s="33" t="n">
        <v>0.0097</v>
      </c>
      <c r="F46" s="34" t="n">
        <v>0.58</v>
      </c>
      <c r="G46" s="46" t="s">
        <v>29</v>
      </c>
    </row>
    <row r="47" customFormat="false" ht="15" hidden="false" customHeight="false" outlineLevel="0" collapsed="false">
      <c r="A47" s="16" t="s">
        <v>254</v>
      </c>
      <c r="B47" s="16" t="s">
        <v>56</v>
      </c>
      <c r="C47" s="16" t="s">
        <v>164</v>
      </c>
      <c r="D47" s="45" t="n">
        <v>95</v>
      </c>
      <c r="E47" s="33" t="n">
        <v>0.0051</v>
      </c>
      <c r="F47" s="34"/>
      <c r="G47" s="46" t="s">
        <v>29</v>
      </c>
    </row>
    <row r="48" customFormat="false" ht="15" hidden="false" customHeight="false" outlineLevel="0" collapsed="false">
      <c r="A48" s="16" t="s">
        <v>254</v>
      </c>
      <c r="B48" s="16" t="s">
        <v>56</v>
      </c>
      <c r="C48" s="16" t="s">
        <v>181</v>
      </c>
      <c r="D48" s="45" t="n">
        <v>7</v>
      </c>
      <c r="E48" s="33" t="n">
        <v>0.0055</v>
      </c>
      <c r="F48" s="34"/>
      <c r="G48" s="46" t="s">
        <v>29</v>
      </c>
    </row>
    <row r="49" customFormat="false" ht="15" hidden="false" customHeight="false" outlineLevel="0" collapsed="false">
      <c r="A49" s="16" t="s">
        <v>254</v>
      </c>
      <c r="B49" s="16" t="s">
        <v>56</v>
      </c>
      <c r="C49" s="16" t="s">
        <v>160</v>
      </c>
      <c r="D49" s="45" t="n">
        <v>78</v>
      </c>
      <c r="E49" s="33" t="n">
        <v>0.004</v>
      </c>
      <c r="F49" s="34"/>
      <c r="G49" s="46" t="s">
        <v>29</v>
      </c>
    </row>
    <row r="50" customFormat="false" ht="15" hidden="false" customHeight="false" outlineLevel="0" collapsed="false">
      <c r="A50" s="16" t="s">
        <v>254</v>
      </c>
      <c r="B50" s="16" t="s">
        <v>56</v>
      </c>
      <c r="C50" s="16" t="s">
        <v>177</v>
      </c>
      <c r="D50" s="45" t="n">
        <v>13</v>
      </c>
      <c r="E50" s="33" t="n">
        <v>0.0045</v>
      </c>
      <c r="F50" s="34"/>
      <c r="G50" s="46" t="s">
        <v>29</v>
      </c>
    </row>
    <row r="51" customFormat="false" ht="15" hidden="false" customHeight="false" outlineLevel="0" collapsed="false">
      <c r="A51" s="16" t="s">
        <v>254</v>
      </c>
      <c r="B51" s="16" t="s">
        <v>56</v>
      </c>
      <c r="C51" s="16" t="s">
        <v>167</v>
      </c>
      <c r="D51" s="45" t="n">
        <v>122</v>
      </c>
      <c r="E51" s="33" t="n">
        <v>0.0067</v>
      </c>
      <c r="F51" s="34"/>
      <c r="G51" s="46" t="s">
        <v>29</v>
      </c>
    </row>
    <row r="52" customFormat="false" ht="15" hidden="false" customHeight="false" outlineLevel="0" collapsed="false">
      <c r="A52" s="16" t="s">
        <v>254</v>
      </c>
      <c r="B52" s="16" t="s">
        <v>56</v>
      </c>
      <c r="C52" s="16" t="s">
        <v>185</v>
      </c>
      <c r="D52" s="45" t="n">
        <v>8</v>
      </c>
      <c r="E52" s="33" t="n">
        <v>-0.0083</v>
      </c>
      <c r="F52" s="34"/>
      <c r="G52" s="46" t="s">
        <v>29</v>
      </c>
    </row>
    <row r="53" customFormat="false" ht="15" hidden="false" customHeight="false" outlineLevel="0" collapsed="false">
      <c r="A53" s="16" t="s">
        <v>254</v>
      </c>
      <c r="B53" s="16" t="s">
        <v>196</v>
      </c>
      <c r="C53" s="16" t="s">
        <v>154</v>
      </c>
      <c r="D53" s="42"/>
      <c r="E53" s="35"/>
      <c r="F53" s="43"/>
      <c r="G53" s="44" t="s">
        <v>252</v>
      </c>
    </row>
    <row r="54" customFormat="false" ht="15" hidden="false" customHeight="false" outlineLevel="0" collapsed="false">
      <c r="A54" s="16" t="s">
        <v>254</v>
      </c>
      <c r="B54" s="16" t="s">
        <v>196</v>
      </c>
      <c r="C54" s="16" t="s">
        <v>172</v>
      </c>
      <c r="D54" s="42"/>
      <c r="E54" s="35"/>
      <c r="F54" s="43"/>
      <c r="G54" s="44" t="s">
        <v>252</v>
      </c>
    </row>
    <row r="55" customFormat="false" ht="15" hidden="false" customHeight="false" outlineLevel="0" collapsed="false">
      <c r="A55" s="16" t="s">
        <v>254</v>
      </c>
      <c r="B55" s="16" t="s">
        <v>196</v>
      </c>
      <c r="C55" s="16" t="s">
        <v>164</v>
      </c>
      <c r="D55" s="42"/>
      <c r="E55" s="35"/>
      <c r="F55" s="43"/>
      <c r="G55" s="44" t="s">
        <v>252</v>
      </c>
    </row>
    <row r="56" customFormat="false" ht="15" hidden="false" customHeight="false" outlineLevel="0" collapsed="false">
      <c r="A56" s="16" t="s">
        <v>254</v>
      </c>
      <c r="B56" s="16" t="s">
        <v>196</v>
      </c>
      <c r="C56" s="16" t="s">
        <v>181</v>
      </c>
      <c r="D56" s="42"/>
      <c r="E56" s="35"/>
      <c r="F56" s="43"/>
      <c r="G56" s="44" t="s">
        <v>252</v>
      </c>
    </row>
    <row r="57" customFormat="false" ht="15" hidden="false" customHeight="false" outlineLevel="0" collapsed="false">
      <c r="A57" s="16" t="s">
        <v>254</v>
      </c>
      <c r="B57" s="16" t="s">
        <v>196</v>
      </c>
      <c r="C57" s="16" t="s">
        <v>160</v>
      </c>
      <c r="D57" s="42"/>
      <c r="E57" s="35"/>
      <c r="F57" s="43"/>
      <c r="G57" s="44" t="s">
        <v>252</v>
      </c>
    </row>
    <row r="58" customFormat="false" ht="15" hidden="false" customHeight="false" outlineLevel="0" collapsed="false">
      <c r="A58" s="16" t="s">
        <v>254</v>
      </c>
      <c r="B58" s="16" t="s">
        <v>196</v>
      </c>
      <c r="C58" s="16" t="s">
        <v>177</v>
      </c>
      <c r="D58" s="42"/>
      <c r="E58" s="35"/>
      <c r="F58" s="43"/>
      <c r="G58" s="44" t="s">
        <v>252</v>
      </c>
    </row>
    <row r="59" customFormat="false" ht="15" hidden="false" customHeight="false" outlineLevel="0" collapsed="false">
      <c r="A59" s="16" t="s">
        <v>254</v>
      </c>
      <c r="B59" s="16" t="s">
        <v>196</v>
      </c>
      <c r="C59" s="16" t="s">
        <v>167</v>
      </c>
      <c r="D59" s="42"/>
      <c r="E59" s="35"/>
      <c r="F59" s="43"/>
      <c r="G59" s="44" t="s">
        <v>252</v>
      </c>
    </row>
    <row r="60" customFormat="false" ht="15" hidden="false" customHeight="false" outlineLevel="0" collapsed="false">
      <c r="A60" s="16" t="s">
        <v>254</v>
      </c>
      <c r="B60" s="16" t="s">
        <v>196</v>
      </c>
      <c r="C60" s="16" t="s">
        <v>185</v>
      </c>
      <c r="D60" s="42"/>
      <c r="E60" s="35"/>
      <c r="F60" s="43"/>
      <c r="G60" s="44" t="s">
        <v>252</v>
      </c>
    </row>
    <row r="61" customFormat="false" ht="15" hidden="false" customHeight="false" outlineLevel="0" collapsed="false">
      <c r="A61" s="16" t="s">
        <v>254</v>
      </c>
      <c r="B61" s="16" t="s">
        <v>253</v>
      </c>
      <c r="C61" s="16" t="s">
        <v>154</v>
      </c>
      <c r="D61" s="42"/>
      <c r="E61" s="35"/>
      <c r="F61" s="43"/>
      <c r="G61" s="44" t="s">
        <v>252</v>
      </c>
    </row>
    <row r="62" customFormat="false" ht="15" hidden="false" customHeight="false" outlineLevel="0" collapsed="false">
      <c r="A62" s="16" t="s">
        <v>254</v>
      </c>
      <c r="B62" s="16" t="s">
        <v>253</v>
      </c>
      <c r="C62" s="16" t="s">
        <v>172</v>
      </c>
      <c r="D62" s="42"/>
      <c r="E62" s="35"/>
      <c r="F62" s="43"/>
      <c r="G62" s="44" t="s">
        <v>252</v>
      </c>
    </row>
    <row r="63" customFormat="false" ht="15" hidden="false" customHeight="false" outlineLevel="0" collapsed="false">
      <c r="A63" s="16" t="s">
        <v>254</v>
      </c>
      <c r="B63" s="16" t="s">
        <v>253</v>
      </c>
      <c r="C63" s="16" t="s">
        <v>164</v>
      </c>
      <c r="D63" s="42"/>
      <c r="E63" s="35"/>
      <c r="F63" s="43"/>
      <c r="G63" s="44" t="s">
        <v>252</v>
      </c>
    </row>
    <row r="64" customFormat="false" ht="15" hidden="false" customHeight="false" outlineLevel="0" collapsed="false">
      <c r="A64" s="16" t="s">
        <v>254</v>
      </c>
      <c r="B64" s="16" t="s">
        <v>253</v>
      </c>
      <c r="C64" s="16" t="s">
        <v>181</v>
      </c>
      <c r="D64" s="42"/>
      <c r="E64" s="35"/>
      <c r="F64" s="43"/>
      <c r="G64" s="44" t="s">
        <v>252</v>
      </c>
    </row>
    <row r="65" customFormat="false" ht="15" hidden="false" customHeight="false" outlineLevel="0" collapsed="false">
      <c r="A65" s="16" t="s">
        <v>254</v>
      </c>
      <c r="B65" s="16" t="s">
        <v>253</v>
      </c>
      <c r="C65" s="16" t="s">
        <v>160</v>
      </c>
      <c r="D65" s="42"/>
      <c r="E65" s="35"/>
      <c r="F65" s="43"/>
      <c r="G65" s="44" t="s">
        <v>252</v>
      </c>
    </row>
    <row r="66" customFormat="false" ht="15" hidden="false" customHeight="false" outlineLevel="0" collapsed="false">
      <c r="A66" s="16" t="s">
        <v>254</v>
      </c>
      <c r="B66" s="16" t="s">
        <v>253</v>
      </c>
      <c r="C66" s="16" t="s">
        <v>177</v>
      </c>
      <c r="D66" s="42"/>
      <c r="E66" s="35"/>
      <c r="F66" s="43"/>
      <c r="G66" s="44" t="s">
        <v>252</v>
      </c>
    </row>
    <row r="67" customFormat="false" ht="15" hidden="false" customHeight="false" outlineLevel="0" collapsed="false">
      <c r="A67" s="16" t="s">
        <v>254</v>
      </c>
      <c r="B67" s="16" t="s">
        <v>253</v>
      </c>
      <c r="C67" s="16" t="s">
        <v>167</v>
      </c>
      <c r="D67" s="42"/>
      <c r="E67" s="35"/>
      <c r="F67" s="43"/>
      <c r="G67" s="44" t="s">
        <v>252</v>
      </c>
    </row>
    <row r="68" customFormat="false" ht="15" hidden="false" customHeight="false" outlineLevel="0" collapsed="false">
      <c r="A68" s="16" t="s">
        <v>254</v>
      </c>
      <c r="B68" s="16" t="s">
        <v>253</v>
      </c>
      <c r="C68" s="16" t="s">
        <v>185</v>
      </c>
      <c r="D68" s="42"/>
      <c r="E68" s="35"/>
      <c r="F68" s="43"/>
      <c r="G68" s="44" t="s">
        <v>252</v>
      </c>
    </row>
  </sheetData>
  <autoFilter ref="A4:G68"/>
  <mergeCells count="1">
    <mergeCell ref="A2:G2"/>
  </mergeCell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&amp;LWindow check&amp;RClayten Fields — squeeze study — 2026-09-30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A6B00"/>
    <pageSetUpPr fitToPage="true"/>
  </sheetPr>
  <dimension ref="A1:K1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12"/>
    <col collapsed="false" customWidth="true" hidden="false" outlineLevel="0" max="7" min="7" style="0" width="20"/>
    <col collapsed="false" customWidth="true" hidden="false" outlineLevel="0" max="8" min="8" style="0" width="22"/>
    <col collapsed="false" customWidth="true" hidden="false" outlineLevel="0" max="9" min="9" style="0" width="12"/>
    <col collapsed="false" customWidth="true" hidden="false" outlineLevel="0" max="10" min="10" style="0" width="14"/>
    <col collapsed="false" customWidth="true" hidden="false" outlineLevel="0" max="11" min="11" style="0" width="28"/>
  </cols>
  <sheetData>
    <row r="1" customFormat="false" ht="15" hidden="false" customHeight="false" outlineLevel="0" collapsed="false">
      <c r="A1" s="12" t="s">
        <v>255</v>
      </c>
    </row>
    <row r="2" customFormat="false" ht="36" hidden="false" customHeight="true" outlineLevel="0" collapsed="false">
      <c r="A2" s="2" t="s">
        <v>256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5" hidden="false" customHeight="false" outlineLevel="0" collapsed="false">
      <c r="A4" s="3" t="s">
        <v>257</v>
      </c>
      <c r="B4" s="3" t="s">
        <v>124</v>
      </c>
      <c r="C4" s="3" t="s">
        <v>258</v>
      </c>
      <c r="D4" s="3" t="s">
        <v>259</v>
      </c>
      <c r="E4" s="3" t="s">
        <v>260</v>
      </c>
      <c r="F4" s="3" t="s">
        <v>261</v>
      </c>
      <c r="G4" s="3" t="s">
        <v>262</v>
      </c>
      <c r="H4" s="3" t="s">
        <v>263</v>
      </c>
      <c r="I4" s="3" t="s">
        <v>264</v>
      </c>
      <c r="J4" s="3" t="s">
        <v>265</v>
      </c>
      <c r="K4" s="3" t="s">
        <v>20</v>
      </c>
    </row>
    <row r="5" customFormat="false" ht="15" hidden="false" customHeight="false" outlineLevel="0" collapsed="false">
      <c r="A5" s="16" t="n">
        <v>1</v>
      </c>
      <c r="B5" s="16" t="s">
        <v>251</v>
      </c>
      <c r="C5" s="47" t="n">
        <v>5</v>
      </c>
      <c r="D5" s="47" t="n">
        <v>3</v>
      </c>
      <c r="E5" s="48" t="n">
        <v>3</v>
      </c>
      <c r="F5" s="48" t="n">
        <v>1.2</v>
      </c>
      <c r="G5" s="49"/>
      <c r="H5" s="49"/>
      <c r="I5" s="45"/>
      <c r="J5" s="33"/>
      <c r="K5" s="44" t="s">
        <v>266</v>
      </c>
    </row>
    <row r="6" customFormat="false" ht="15" hidden="false" customHeight="false" outlineLevel="0" collapsed="false">
      <c r="A6" s="16" t="n">
        <v>2</v>
      </c>
      <c r="B6" s="16" t="s">
        <v>251</v>
      </c>
      <c r="C6" s="47" t="n">
        <v>5</v>
      </c>
      <c r="D6" s="47" t="n">
        <v>3</v>
      </c>
      <c r="E6" s="48" t="n">
        <v>3</v>
      </c>
      <c r="F6" s="48" t="n">
        <v>1.5</v>
      </c>
      <c r="G6" s="49"/>
      <c r="H6" s="49"/>
      <c r="I6" s="45"/>
      <c r="J6" s="33"/>
      <c r="K6" s="44" t="s">
        <v>266</v>
      </c>
    </row>
    <row r="7" customFormat="false" ht="15" hidden="false" customHeight="false" outlineLevel="0" collapsed="false">
      <c r="A7" s="16" t="n">
        <v>3</v>
      </c>
      <c r="B7" s="16" t="s">
        <v>251</v>
      </c>
      <c r="C7" s="47" t="n">
        <v>5</v>
      </c>
      <c r="D7" s="47" t="n">
        <v>3</v>
      </c>
      <c r="E7" s="48" t="n">
        <v>5</v>
      </c>
      <c r="F7" s="48" t="n">
        <v>1.2</v>
      </c>
      <c r="G7" s="49"/>
      <c r="H7" s="49"/>
      <c r="I7" s="45"/>
      <c r="J7" s="33"/>
      <c r="K7" s="44" t="s">
        <v>266</v>
      </c>
    </row>
    <row r="8" customFormat="false" ht="15" hidden="false" customHeight="false" outlineLevel="0" collapsed="false">
      <c r="A8" s="16" t="n">
        <v>4</v>
      </c>
      <c r="B8" s="16" t="s">
        <v>251</v>
      </c>
      <c r="C8" s="47" t="n">
        <v>5</v>
      </c>
      <c r="D8" s="47" t="n">
        <v>3</v>
      </c>
      <c r="E8" s="48" t="n">
        <v>5</v>
      </c>
      <c r="F8" s="48" t="n">
        <v>1.5</v>
      </c>
      <c r="G8" s="49"/>
      <c r="H8" s="49"/>
      <c r="I8" s="45"/>
      <c r="J8" s="33"/>
      <c r="K8" s="44" t="s">
        <v>266</v>
      </c>
    </row>
    <row r="9" customFormat="false" ht="15" hidden="false" customHeight="false" outlineLevel="0" collapsed="false">
      <c r="A9" s="16" t="n">
        <v>5</v>
      </c>
      <c r="B9" s="16" t="s">
        <v>251</v>
      </c>
      <c r="C9" s="47" t="n">
        <v>5</v>
      </c>
      <c r="D9" s="47" t="n">
        <v>5</v>
      </c>
      <c r="E9" s="48" t="n">
        <v>3</v>
      </c>
      <c r="F9" s="48" t="n">
        <v>1.2</v>
      </c>
      <c r="G9" s="49"/>
      <c r="H9" s="49"/>
      <c r="I9" s="45"/>
      <c r="J9" s="33"/>
      <c r="K9" s="44" t="s">
        <v>266</v>
      </c>
    </row>
    <row r="10" customFormat="false" ht="15" hidden="false" customHeight="false" outlineLevel="0" collapsed="false">
      <c r="A10" s="16" t="n">
        <v>6</v>
      </c>
      <c r="B10" s="16" t="s">
        <v>251</v>
      </c>
      <c r="C10" s="47" t="n">
        <v>5</v>
      </c>
      <c r="D10" s="47" t="n">
        <v>5</v>
      </c>
      <c r="E10" s="48" t="n">
        <v>3</v>
      </c>
      <c r="F10" s="48" t="n">
        <v>1.5</v>
      </c>
      <c r="G10" s="49"/>
      <c r="H10" s="49"/>
      <c r="I10" s="45"/>
      <c r="J10" s="33"/>
      <c r="K10" s="44" t="s">
        <v>266</v>
      </c>
    </row>
    <row r="11" customFormat="false" ht="15" hidden="false" customHeight="false" outlineLevel="0" collapsed="false">
      <c r="A11" s="16" t="n">
        <v>7</v>
      </c>
      <c r="B11" s="16" t="s">
        <v>251</v>
      </c>
      <c r="C11" s="47" t="n">
        <v>5</v>
      </c>
      <c r="D11" s="47" t="n">
        <v>5</v>
      </c>
      <c r="E11" s="48" t="n">
        <v>5</v>
      </c>
      <c r="F11" s="48" t="n">
        <v>1.2</v>
      </c>
      <c r="G11" s="49"/>
      <c r="H11" s="49"/>
      <c r="I11" s="45"/>
      <c r="J11" s="33"/>
      <c r="K11" s="44" t="s">
        <v>266</v>
      </c>
    </row>
    <row r="12" customFormat="false" ht="15" hidden="false" customHeight="false" outlineLevel="0" collapsed="false">
      <c r="A12" s="16" t="n">
        <v>8</v>
      </c>
      <c r="B12" s="16" t="s">
        <v>251</v>
      </c>
      <c r="C12" s="47" t="n">
        <v>5</v>
      </c>
      <c r="D12" s="47" t="n">
        <v>5</v>
      </c>
      <c r="E12" s="48" t="n">
        <v>5</v>
      </c>
      <c r="F12" s="48" t="n">
        <v>1.5</v>
      </c>
      <c r="G12" s="49"/>
      <c r="H12" s="49"/>
      <c r="I12" s="45"/>
      <c r="J12" s="33"/>
      <c r="K12" s="44" t="s">
        <v>266</v>
      </c>
    </row>
    <row r="13" customFormat="false" ht="15" hidden="false" customHeight="false" outlineLevel="0" collapsed="false">
      <c r="A13" s="16" t="n">
        <v>9</v>
      </c>
      <c r="B13" s="16" t="s">
        <v>251</v>
      </c>
      <c r="C13" s="47" t="n">
        <v>5</v>
      </c>
      <c r="D13" s="47" t="n">
        <v>8</v>
      </c>
      <c r="E13" s="48" t="n">
        <v>3</v>
      </c>
      <c r="F13" s="48" t="n">
        <v>1.2</v>
      </c>
      <c r="G13" s="49"/>
      <c r="H13" s="49"/>
      <c r="I13" s="45"/>
      <c r="J13" s="33"/>
      <c r="K13" s="44" t="s">
        <v>266</v>
      </c>
    </row>
    <row r="14" customFormat="false" ht="15" hidden="false" customHeight="false" outlineLevel="0" collapsed="false">
      <c r="A14" s="16" t="n">
        <v>10</v>
      </c>
      <c r="B14" s="16" t="s">
        <v>251</v>
      </c>
      <c r="C14" s="47" t="n">
        <v>5</v>
      </c>
      <c r="D14" s="47" t="n">
        <v>8</v>
      </c>
      <c r="E14" s="48" t="n">
        <v>3</v>
      </c>
      <c r="F14" s="48" t="n">
        <v>1.5</v>
      </c>
      <c r="G14" s="49"/>
      <c r="H14" s="49"/>
      <c r="I14" s="45"/>
      <c r="J14" s="33"/>
      <c r="K14" s="44" t="s">
        <v>266</v>
      </c>
    </row>
    <row r="15" customFormat="false" ht="15" hidden="false" customHeight="false" outlineLevel="0" collapsed="false">
      <c r="A15" s="16" t="n">
        <v>11</v>
      </c>
      <c r="B15" s="16" t="s">
        <v>251</v>
      </c>
      <c r="C15" s="47" t="n">
        <v>5</v>
      </c>
      <c r="D15" s="47" t="n">
        <v>8</v>
      </c>
      <c r="E15" s="48" t="n">
        <v>5</v>
      </c>
      <c r="F15" s="48" t="n">
        <v>1.2</v>
      </c>
      <c r="G15" s="49"/>
      <c r="H15" s="49"/>
      <c r="I15" s="45"/>
      <c r="J15" s="33"/>
      <c r="K15" s="44" t="s">
        <v>266</v>
      </c>
    </row>
    <row r="16" customFormat="false" ht="15" hidden="false" customHeight="false" outlineLevel="0" collapsed="false">
      <c r="A16" s="16" t="n">
        <v>12</v>
      </c>
      <c r="B16" s="16" t="s">
        <v>251</v>
      </c>
      <c r="C16" s="47" t="n">
        <v>5</v>
      </c>
      <c r="D16" s="47" t="n">
        <v>8</v>
      </c>
      <c r="E16" s="48" t="n">
        <v>5</v>
      </c>
      <c r="F16" s="48" t="n">
        <v>1.5</v>
      </c>
      <c r="G16" s="49"/>
      <c r="H16" s="49"/>
      <c r="I16" s="45"/>
      <c r="J16" s="33"/>
      <c r="K16" s="44" t="s">
        <v>266</v>
      </c>
    </row>
    <row r="17" customFormat="false" ht="15" hidden="false" customHeight="false" outlineLevel="0" collapsed="false">
      <c r="A17" s="16" t="n">
        <v>13</v>
      </c>
      <c r="B17" s="16" t="s">
        <v>251</v>
      </c>
      <c r="C17" s="47" t="n">
        <v>10</v>
      </c>
      <c r="D17" s="47" t="n">
        <v>3</v>
      </c>
      <c r="E17" s="48" t="n">
        <v>3</v>
      </c>
      <c r="F17" s="48" t="n">
        <v>1.2</v>
      </c>
      <c r="G17" s="49"/>
      <c r="H17" s="49"/>
      <c r="I17" s="45"/>
      <c r="J17" s="33"/>
      <c r="K17" s="44" t="s">
        <v>266</v>
      </c>
    </row>
    <row r="18" customFormat="false" ht="15" hidden="false" customHeight="false" outlineLevel="0" collapsed="false">
      <c r="A18" s="16" t="n">
        <v>14</v>
      </c>
      <c r="B18" s="16" t="s">
        <v>251</v>
      </c>
      <c r="C18" s="47" t="n">
        <v>10</v>
      </c>
      <c r="D18" s="47" t="n">
        <v>3</v>
      </c>
      <c r="E18" s="48" t="n">
        <v>3</v>
      </c>
      <c r="F18" s="48" t="n">
        <v>1.5</v>
      </c>
      <c r="G18" s="49"/>
      <c r="H18" s="49"/>
      <c r="I18" s="45"/>
      <c r="J18" s="33"/>
      <c r="K18" s="44" t="s">
        <v>266</v>
      </c>
    </row>
    <row r="19" customFormat="false" ht="15" hidden="false" customHeight="false" outlineLevel="0" collapsed="false">
      <c r="A19" s="16" t="n">
        <v>15</v>
      </c>
      <c r="B19" s="16" t="s">
        <v>251</v>
      </c>
      <c r="C19" s="47" t="n">
        <v>10</v>
      </c>
      <c r="D19" s="47" t="n">
        <v>3</v>
      </c>
      <c r="E19" s="48" t="n">
        <v>5</v>
      </c>
      <c r="F19" s="48" t="n">
        <v>1.2</v>
      </c>
      <c r="G19" s="49"/>
      <c r="H19" s="49"/>
      <c r="I19" s="45"/>
      <c r="J19" s="33"/>
      <c r="K19" s="44" t="s">
        <v>266</v>
      </c>
    </row>
    <row r="20" customFormat="false" ht="15" hidden="false" customHeight="false" outlineLevel="0" collapsed="false">
      <c r="A20" s="16" t="n">
        <v>16</v>
      </c>
      <c r="B20" s="16" t="s">
        <v>251</v>
      </c>
      <c r="C20" s="47" t="n">
        <v>10</v>
      </c>
      <c r="D20" s="47" t="n">
        <v>3</v>
      </c>
      <c r="E20" s="48" t="n">
        <v>5</v>
      </c>
      <c r="F20" s="48" t="n">
        <v>1.5</v>
      </c>
      <c r="G20" s="49"/>
      <c r="H20" s="49"/>
      <c r="I20" s="45"/>
      <c r="J20" s="33"/>
      <c r="K20" s="44" t="s">
        <v>266</v>
      </c>
    </row>
    <row r="21" customFormat="false" ht="15" hidden="false" customHeight="false" outlineLevel="0" collapsed="false">
      <c r="A21" s="16" t="n">
        <v>17</v>
      </c>
      <c r="B21" s="16" t="s">
        <v>251</v>
      </c>
      <c r="C21" s="47" t="n">
        <v>10</v>
      </c>
      <c r="D21" s="47" t="n">
        <v>5</v>
      </c>
      <c r="E21" s="48" t="n">
        <v>3</v>
      </c>
      <c r="F21" s="48" t="n">
        <v>1.2</v>
      </c>
      <c r="G21" s="49"/>
      <c r="H21" s="49"/>
      <c r="I21" s="45"/>
      <c r="J21" s="33"/>
      <c r="K21" s="44" t="s">
        <v>266</v>
      </c>
    </row>
    <row r="22" customFormat="false" ht="15" hidden="false" customHeight="false" outlineLevel="0" collapsed="false">
      <c r="A22" s="16" t="n">
        <v>18</v>
      </c>
      <c r="B22" s="16" t="s">
        <v>251</v>
      </c>
      <c r="C22" s="47" t="n">
        <v>10</v>
      </c>
      <c r="D22" s="47" t="n">
        <v>5</v>
      </c>
      <c r="E22" s="48" t="n">
        <v>3</v>
      </c>
      <c r="F22" s="48" t="n">
        <v>1.5</v>
      </c>
      <c r="G22" s="49"/>
      <c r="H22" s="49"/>
      <c r="I22" s="45"/>
      <c r="J22" s="33"/>
      <c r="K22" s="44" t="s">
        <v>266</v>
      </c>
    </row>
    <row r="23" customFormat="false" ht="15" hidden="false" customHeight="false" outlineLevel="0" collapsed="false">
      <c r="A23" s="16" t="n">
        <v>19</v>
      </c>
      <c r="B23" s="16" t="s">
        <v>251</v>
      </c>
      <c r="C23" s="47" t="n">
        <v>10</v>
      </c>
      <c r="D23" s="47" t="n">
        <v>5</v>
      </c>
      <c r="E23" s="48" t="n">
        <v>5</v>
      </c>
      <c r="F23" s="48" t="n">
        <v>1.2</v>
      </c>
      <c r="G23" s="49"/>
      <c r="H23" s="49"/>
      <c r="I23" s="45"/>
      <c r="J23" s="33"/>
      <c r="K23" s="44" t="s">
        <v>266</v>
      </c>
    </row>
    <row r="24" customFormat="false" ht="15" hidden="false" customHeight="false" outlineLevel="0" collapsed="false">
      <c r="A24" s="16" t="n">
        <v>20</v>
      </c>
      <c r="B24" s="16" t="s">
        <v>251</v>
      </c>
      <c r="C24" s="47" t="n">
        <v>10</v>
      </c>
      <c r="D24" s="47" t="n">
        <v>5</v>
      </c>
      <c r="E24" s="48" t="n">
        <v>5</v>
      </c>
      <c r="F24" s="48" t="n">
        <v>1.5</v>
      </c>
      <c r="G24" s="49"/>
      <c r="H24" s="49"/>
      <c r="I24" s="45"/>
      <c r="J24" s="33"/>
      <c r="K24" s="44" t="s">
        <v>266</v>
      </c>
    </row>
    <row r="25" customFormat="false" ht="15" hidden="false" customHeight="false" outlineLevel="0" collapsed="false">
      <c r="A25" s="16" t="n">
        <v>21</v>
      </c>
      <c r="B25" s="16" t="s">
        <v>251</v>
      </c>
      <c r="C25" s="47" t="n">
        <v>10</v>
      </c>
      <c r="D25" s="47" t="n">
        <v>8</v>
      </c>
      <c r="E25" s="48" t="n">
        <v>3</v>
      </c>
      <c r="F25" s="48" t="n">
        <v>1.2</v>
      </c>
      <c r="G25" s="49"/>
      <c r="H25" s="49"/>
      <c r="I25" s="45"/>
      <c r="J25" s="33"/>
      <c r="K25" s="44" t="s">
        <v>266</v>
      </c>
    </row>
    <row r="26" customFormat="false" ht="15" hidden="false" customHeight="false" outlineLevel="0" collapsed="false">
      <c r="A26" s="16" t="n">
        <v>22</v>
      </c>
      <c r="B26" s="16" t="s">
        <v>251</v>
      </c>
      <c r="C26" s="47" t="n">
        <v>10</v>
      </c>
      <c r="D26" s="47" t="n">
        <v>8</v>
      </c>
      <c r="E26" s="48" t="n">
        <v>3</v>
      </c>
      <c r="F26" s="48" t="n">
        <v>1.5</v>
      </c>
      <c r="G26" s="49"/>
      <c r="H26" s="49"/>
      <c r="I26" s="45"/>
      <c r="J26" s="33"/>
      <c r="K26" s="44" t="s">
        <v>266</v>
      </c>
    </row>
    <row r="27" customFormat="false" ht="15" hidden="false" customHeight="false" outlineLevel="0" collapsed="false">
      <c r="A27" s="16" t="n">
        <v>23</v>
      </c>
      <c r="B27" s="16" t="s">
        <v>251</v>
      </c>
      <c r="C27" s="47" t="n">
        <v>10</v>
      </c>
      <c r="D27" s="47" t="n">
        <v>8</v>
      </c>
      <c r="E27" s="48" t="n">
        <v>5</v>
      </c>
      <c r="F27" s="48" t="n">
        <v>1.2</v>
      </c>
      <c r="G27" s="49"/>
      <c r="H27" s="49"/>
      <c r="I27" s="45"/>
      <c r="J27" s="33"/>
      <c r="K27" s="44" t="s">
        <v>266</v>
      </c>
    </row>
    <row r="28" customFormat="false" ht="15" hidden="false" customHeight="false" outlineLevel="0" collapsed="false">
      <c r="A28" s="16" t="n">
        <v>24</v>
      </c>
      <c r="B28" s="16" t="s">
        <v>251</v>
      </c>
      <c r="C28" s="47" t="n">
        <v>10</v>
      </c>
      <c r="D28" s="47" t="n">
        <v>8</v>
      </c>
      <c r="E28" s="48" t="n">
        <v>5</v>
      </c>
      <c r="F28" s="48" t="n">
        <v>1.5</v>
      </c>
      <c r="G28" s="49"/>
      <c r="H28" s="49"/>
      <c r="I28" s="45"/>
      <c r="J28" s="33"/>
      <c r="K28" s="44" t="s">
        <v>266</v>
      </c>
    </row>
    <row r="29" customFormat="false" ht="15" hidden="false" customHeight="false" outlineLevel="0" collapsed="false">
      <c r="A29" s="16" t="n">
        <v>25</v>
      </c>
      <c r="B29" s="16" t="s">
        <v>251</v>
      </c>
      <c r="C29" s="47" t="n">
        <v>15</v>
      </c>
      <c r="D29" s="47" t="n">
        <v>3</v>
      </c>
      <c r="E29" s="48" t="n">
        <v>3</v>
      </c>
      <c r="F29" s="48" t="n">
        <v>1.2</v>
      </c>
      <c r="G29" s="49"/>
      <c r="H29" s="49"/>
      <c r="I29" s="45"/>
      <c r="J29" s="33"/>
      <c r="K29" s="44" t="s">
        <v>266</v>
      </c>
    </row>
    <row r="30" customFormat="false" ht="15" hidden="false" customHeight="false" outlineLevel="0" collapsed="false">
      <c r="A30" s="16" t="n">
        <v>26</v>
      </c>
      <c r="B30" s="16" t="s">
        <v>251</v>
      </c>
      <c r="C30" s="47" t="n">
        <v>15</v>
      </c>
      <c r="D30" s="47" t="n">
        <v>3</v>
      </c>
      <c r="E30" s="48" t="n">
        <v>3</v>
      </c>
      <c r="F30" s="48" t="n">
        <v>1.5</v>
      </c>
      <c r="G30" s="49"/>
      <c r="H30" s="49"/>
      <c r="I30" s="45"/>
      <c r="J30" s="33"/>
      <c r="K30" s="44" t="s">
        <v>266</v>
      </c>
    </row>
    <row r="31" customFormat="false" ht="15" hidden="false" customHeight="false" outlineLevel="0" collapsed="false">
      <c r="A31" s="16" t="n">
        <v>27</v>
      </c>
      <c r="B31" s="16" t="s">
        <v>251</v>
      </c>
      <c r="C31" s="47" t="n">
        <v>15</v>
      </c>
      <c r="D31" s="47" t="n">
        <v>3</v>
      </c>
      <c r="E31" s="48" t="n">
        <v>5</v>
      </c>
      <c r="F31" s="48" t="n">
        <v>1.2</v>
      </c>
      <c r="G31" s="49"/>
      <c r="H31" s="49"/>
      <c r="I31" s="45"/>
      <c r="J31" s="33"/>
      <c r="K31" s="44" t="s">
        <v>266</v>
      </c>
    </row>
    <row r="32" customFormat="false" ht="15" hidden="false" customHeight="false" outlineLevel="0" collapsed="false">
      <c r="A32" s="16" t="n">
        <v>28</v>
      </c>
      <c r="B32" s="16" t="s">
        <v>251</v>
      </c>
      <c r="C32" s="47" t="n">
        <v>15</v>
      </c>
      <c r="D32" s="47" t="n">
        <v>3</v>
      </c>
      <c r="E32" s="48" t="n">
        <v>5</v>
      </c>
      <c r="F32" s="48" t="n">
        <v>1.5</v>
      </c>
      <c r="G32" s="49"/>
      <c r="H32" s="49"/>
      <c r="I32" s="45"/>
      <c r="J32" s="33"/>
      <c r="K32" s="44" t="s">
        <v>266</v>
      </c>
    </row>
    <row r="33" customFormat="false" ht="15" hidden="false" customHeight="false" outlineLevel="0" collapsed="false">
      <c r="A33" s="16" t="n">
        <v>29</v>
      </c>
      <c r="B33" s="16" t="s">
        <v>251</v>
      </c>
      <c r="C33" s="47" t="n">
        <v>15</v>
      </c>
      <c r="D33" s="47" t="n">
        <v>5</v>
      </c>
      <c r="E33" s="48" t="n">
        <v>3</v>
      </c>
      <c r="F33" s="48" t="n">
        <v>1.2</v>
      </c>
      <c r="G33" s="49"/>
      <c r="H33" s="49"/>
      <c r="I33" s="45"/>
      <c r="J33" s="33"/>
      <c r="K33" s="44" t="s">
        <v>266</v>
      </c>
    </row>
    <row r="34" customFormat="false" ht="15" hidden="false" customHeight="false" outlineLevel="0" collapsed="false">
      <c r="A34" s="16" t="n">
        <v>30</v>
      </c>
      <c r="B34" s="16" t="s">
        <v>251</v>
      </c>
      <c r="C34" s="47" t="n">
        <v>15</v>
      </c>
      <c r="D34" s="47" t="n">
        <v>5</v>
      </c>
      <c r="E34" s="48" t="n">
        <v>3</v>
      </c>
      <c r="F34" s="48" t="n">
        <v>1.5</v>
      </c>
      <c r="G34" s="49"/>
      <c r="H34" s="49"/>
      <c r="I34" s="45"/>
      <c r="J34" s="33"/>
      <c r="K34" s="44" t="s">
        <v>266</v>
      </c>
    </row>
    <row r="35" customFormat="false" ht="15" hidden="false" customHeight="false" outlineLevel="0" collapsed="false">
      <c r="A35" s="16" t="n">
        <v>31</v>
      </c>
      <c r="B35" s="16" t="s">
        <v>251</v>
      </c>
      <c r="C35" s="47" t="n">
        <v>15</v>
      </c>
      <c r="D35" s="47" t="n">
        <v>5</v>
      </c>
      <c r="E35" s="48" t="n">
        <v>5</v>
      </c>
      <c r="F35" s="48" t="n">
        <v>1.2</v>
      </c>
      <c r="G35" s="49"/>
      <c r="H35" s="49"/>
      <c r="I35" s="45"/>
      <c r="J35" s="33"/>
      <c r="K35" s="44" t="s">
        <v>266</v>
      </c>
    </row>
    <row r="36" customFormat="false" ht="15" hidden="false" customHeight="false" outlineLevel="0" collapsed="false">
      <c r="A36" s="16" t="n">
        <v>32</v>
      </c>
      <c r="B36" s="16" t="s">
        <v>251</v>
      </c>
      <c r="C36" s="47" t="n">
        <v>15</v>
      </c>
      <c r="D36" s="47" t="n">
        <v>5</v>
      </c>
      <c r="E36" s="48" t="n">
        <v>5</v>
      </c>
      <c r="F36" s="48" t="n">
        <v>1.5</v>
      </c>
      <c r="G36" s="49"/>
      <c r="H36" s="49"/>
      <c r="I36" s="45"/>
      <c r="J36" s="33"/>
      <c r="K36" s="44" t="s">
        <v>266</v>
      </c>
    </row>
    <row r="37" customFormat="false" ht="15" hidden="false" customHeight="false" outlineLevel="0" collapsed="false">
      <c r="A37" s="16" t="n">
        <v>33</v>
      </c>
      <c r="B37" s="16" t="s">
        <v>251</v>
      </c>
      <c r="C37" s="47" t="n">
        <v>15</v>
      </c>
      <c r="D37" s="47" t="n">
        <v>8</v>
      </c>
      <c r="E37" s="48" t="n">
        <v>3</v>
      </c>
      <c r="F37" s="48" t="n">
        <v>1.2</v>
      </c>
      <c r="G37" s="49"/>
      <c r="H37" s="49"/>
      <c r="I37" s="45"/>
      <c r="J37" s="33"/>
      <c r="K37" s="44" t="s">
        <v>266</v>
      </c>
    </row>
    <row r="38" customFormat="false" ht="15" hidden="false" customHeight="false" outlineLevel="0" collapsed="false">
      <c r="A38" s="16" t="n">
        <v>34</v>
      </c>
      <c r="B38" s="16" t="s">
        <v>251</v>
      </c>
      <c r="C38" s="47" t="n">
        <v>15</v>
      </c>
      <c r="D38" s="47" t="n">
        <v>8</v>
      </c>
      <c r="E38" s="48" t="n">
        <v>3</v>
      </c>
      <c r="F38" s="48" t="n">
        <v>1.5</v>
      </c>
      <c r="G38" s="49"/>
      <c r="H38" s="49"/>
      <c r="I38" s="45"/>
      <c r="J38" s="33"/>
      <c r="K38" s="44" t="s">
        <v>266</v>
      </c>
    </row>
    <row r="39" customFormat="false" ht="15" hidden="false" customHeight="false" outlineLevel="0" collapsed="false">
      <c r="A39" s="16" t="n">
        <v>35</v>
      </c>
      <c r="B39" s="16" t="s">
        <v>251</v>
      </c>
      <c r="C39" s="47" t="n">
        <v>15</v>
      </c>
      <c r="D39" s="47" t="n">
        <v>8</v>
      </c>
      <c r="E39" s="48" t="n">
        <v>5</v>
      </c>
      <c r="F39" s="48" t="n">
        <v>1.2</v>
      </c>
      <c r="G39" s="49"/>
      <c r="H39" s="49"/>
      <c r="I39" s="45"/>
      <c r="J39" s="33"/>
      <c r="K39" s="44" t="s">
        <v>266</v>
      </c>
    </row>
    <row r="40" customFormat="false" ht="15" hidden="false" customHeight="false" outlineLevel="0" collapsed="false">
      <c r="A40" s="16" t="n">
        <v>36</v>
      </c>
      <c r="B40" s="16" t="s">
        <v>251</v>
      </c>
      <c r="C40" s="47" t="n">
        <v>15</v>
      </c>
      <c r="D40" s="47" t="n">
        <v>8</v>
      </c>
      <c r="E40" s="48" t="n">
        <v>5</v>
      </c>
      <c r="F40" s="48" t="n">
        <v>1.5</v>
      </c>
      <c r="G40" s="49"/>
      <c r="H40" s="49"/>
      <c r="I40" s="45"/>
      <c r="J40" s="33"/>
      <c r="K40" s="44" t="s">
        <v>266</v>
      </c>
    </row>
    <row r="41" customFormat="false" ht="15" hidden="false" customHeight="false" outlineLevel="0" collapsed="false">
      <c r="A41" s="16" t="n">
        <v>37</v>
      </c>
      <c r="B41" s="16" t="s">
        <v>56</v>
      </c>
      <c r="C41" s="47" t="n">
        <v>5</v>
      </c>
      <c r="D41" s="47" t="n">
        <v>3</v>
      </c>
      <c r="E41" s="48" t="n">
        <v>3</v>
      </c>
      <c r="F41" s="48" t="n">
        <v>1.2</v>
      </c>
      <c r="G41" s="49"/>
      <c r="H41" s="49"/>
      <c r="I41" s="45"/>
      <c r="J41" s="33"/>
      <c r="K41" s="44" t="s">
        <v>266</v>
      </c>
    </row>
    <row r="42" customFormat="false" ht="15" hidden="false" customHeight="false" outlineLevel="0" collapsed="false">
      <c r="A42" s="16" t="n">
        <v>38</v>
      </c>
      <c r="B42" s="16" t="s">
        <v>56</v>
      </c>
      <c r="C42" s="47" t="n">
        <v>5</v>
      </c>
      <c r="D42" s="47" t="n">
        <v>3</v>
      </c>
      <c r="E42" s="48" t="n">
        <v>3</v>
      </c>
      <c r="F42" s="48" t="n">
        <v>1.5</v>
      </c>
      <c r="G42" s="49"/>
      <c r="H42" s="49"/>
      <c r="I42" s="45"/>
      <c r="J42" s="33"/>
      <c r="K42" s="44" t="s">
        <v>266</v>
      </c>
    </row>
    <row r="43" customFormat="false" ht="15" hidden="false" customHeight="false" outlineLevel="0" collapsed="false">
      <c r="A43" s="16" t="n">
        <v>39</v>
      </c>
      <c r="B43" s="16" t="s">
        <v>56</v>
      </c>
      <c r="C43" s="47" t="n">
        <v>5</v>
      </c>
      <c r="D43" s="47" t="n">
        <v>3</v>
      </c>
      <c r="E43" s="48" t="n">
        <v>5</v>
      </c>
      <c r="F43" s="48" t="n">
        <v>1.2</v>
      </c>
      <c r="G43" s="49"/>
      <c r="H43" s="49"/>
      <c r="I43" s="45"/>
      <c r="J43" s="33"/>
      <c r="K43" s="44" t="s">
        <v>266</v>
      </c>
    </row>
    <row r="44" customFormat="false" ht="15" hidden="false" customHeight="false" outlineLevel="0" collapsed="false">
      <c r="A44" s="16" t="n">
        <v>40</v>
      </c>
      <c r="B44" s="16" t="s">
        <v>56</v>
      </c>
      <c r="C44" s="47" t="n">
        <v>5</v>
      </c>
      <c r="D44" s="47" t="n">
        <v>3</v>
      </c>
      <c r="E44" s="48" t="n">
        <v>5</v>
      </c>
      <c r="F44" s="48" t="n">
        <v>1.5</v>
      </c>
      <c r="G44" s="49"/>
      <c r="H44" s="49"/>
      <c r="I44" s="45"/>
      <c r="J44" s="33"/>
      <c r="K44" s="44" t="s">
        <v>266</v>
      </c>
    </row>
    <row r="45" customFormat="false" ht="15" hidden="false" customHeight="false" outlineLevel="0" collapsed="false">
      <c r="A45" s="16" t="n">
        <v>41</v>
      </c>
      <c r="B45" s="16" t="s">
        <v>56</v>
      </c>
      <c r="C45" s="47" t="n">
        <v>5</v>
      </c>
      <c r="D45" s="47" t="n">
        <v>5</v>
      </c>
      <c r="E45" s="48" t="n">
        <v>3</v>
      </c>
      <c r="F45" s="48" t="n">
        <v>1.2</v>
      </c>
      <c r="G45" s="49"/>
      <c r="H45" s="49"/>
      <c r="I45" s="45"/>
      <c r="J45" s="33"/>
      <c r="K45" s="44" t="s">
        <v>266</v>
      </c>
    </row>
    <row r="46" customFormat="false" ht="15" hidden="false" customHeight="false" outlineLevel="0" collapsed="false">
      <c r="A46" s="16" t="n">
        <v>42</v>
      </c>
      <c r="B46" s="16" t="s">
        <v>56</v>
      </c>
      <c r="C46" s="47" t="n">
        <v>5</v>
      </c>
      <c r="D46" s="47" t="n">
        <v>5</v>
      </c>
      <c r="E46" s="48" t="n">
        <v>3</v>
      </c>
      <c r="F46" s="48" t="n">
        <v>1.5</v>
      </c>
      <c r="G46" s="49"/>
      <c r="H46" s="49"/>
      <c r="I46" s="45"/>
      <c r="J46" s="33"/>
      <c r="K46" s="44" t="s">
        <v>266</v>
      </c>
    </row>
    <row r="47" customFormat="false" ht="15" hidden="false" customHeight="false" outlineLevel="0" collapsed="false">
      <c r="A47" s="16" t="n">
        <v>43</v>
      </c>
      <c r="B47" s="16" t="s">
        <v>56</v>
      </c>
      <c r="C47" s="47" t="n">
        <v>5</v>
      </c>
      <c r="D47" s="47" t="n">
        <v>5</v>
      </c>
      <c r="E47" s="48" t="n">
        <v>5</v>
      </c>
      <c r="F47" s="48" t="n">
        <v>1.2</v>
      </c>
      <c r="G47" s="49"/>
      <c r="H47" s="49"/>
      <c r="I47" s="45"/>
      <c r="J47" s="33"/>
      <c r="K47" s="44" t="s">
        <v>266</v>
      </c>
    </row>
    <row r="48" customFormat="false" ht="15" hidden="false" customHeight="false" outlineLevel="0" collapsed="false">
      <c r="A48" s="16" t="n">
        <v>44</v>
      </c>
      <c r="B48" s="16" t="s">
        <v>56</v>
      </c>
      <c r="C48" s="47" t="n">
        <v>5</v>
      </c>
      <c r="D48" s="47" t="n">
        <v>5</v>
      </c>
      <c r="E48" s="48" t="n">
        <v>5</v>
      </c>
      <c r="F48" s="48" t="n">
        <v>1.5</v>
      </c>
      <c r="G48" s="49"/>
      <c r="H48" s="49"/>
      <c r="I48" s="45"/>
      <c r="J48" s="33"/>
      <c r="K48" s="44" t="s">
        <v>266</v>
      </c>
    </row>
    <row r="49" customFormat="false" ht="15" hidden="false" customHeight="false" outlineLevel="0" collapsed="false">
      <c r="A49" s="16" t="n">
        <v>45</v>
      </c>
      <c r="B49" s="16" t="s">
        <v>56</v>
      </c>
      <c r="C49" s="47" t="n">
        <v>5</v>
      </c>
      <c r="D49" s="47" t="n">
        <v>8</v>
      </c>
      <c r="E49" s="48" t="n">
        <v>3</v>
      </c>
      <c r="F49" s="48" t="n">
        <v>1.2</v>
      </c>
      <c r="G49" s="49"/>
      <c r="H49" s="49"/>
      <c r="I49" s="45"/>
      <c r="J49" s="33"/>
      <c r="K49" s="44" t="s">
        <v>266</v>
      </c>
    </row>
    <row r="50" customFormat="false" ht="15" hidden="false" customHeight="false" outlineLevel="0" collapsed="false">
      <c r="A50" s="16" t="n">
        <v>46</v>
      </c>
      <c r="B50" s="16" t="s">
        <v>56</v>
      </c>
      <c r="C50" s="47" t="n">
        <v>5</v>
      </c>
      <c r="D50" s="47" t="n">
        <v>8</v>
      </c>
      <c r="E50" s="48" t="n">
        <v>3</v>
      </c>
      <c r="F50" s="48" t="n">
        <v>1.5</v>
      </c>
      <c r="G50" s="49"/>
      <c r="H50" s="49"/>
      <c r="I50" s="45"/>
      <c r="J50" s="33"/>
      <c r="K50" s="44" t="s">
        <v>266</v>
      </c>
    </row>
    <row r="51" customFormat="false" ht="15" hidden="false" customHeight="false" outlineLevel="0" collapsed="false">
      <c r="A51" s="16" t="n">
        <v>47</v>
      </c>
      <c r="B51" s="16" t="s">
        <v>56</v>
      </c>
      <c r="C51" s="47" t="n">
        <v>5</v>
      </c>
      <c r="D51" s="47" t="n">
        <v>8</v>
      </c>
      <c r="E51" s="48" t="n">
        <v>5</v>
      </c>
      <c r="F51" s="48" t="n">
        <v>1.2</v>
      </c>
      <c r="G51" s="49"/>
      <c r="H51" s="49"/>
      <c r="I51" s="45"/>
      <c r="J51" s="33"/>
      <c r="K51" s="44" t="s">
        <v>266</v>
      </c>
    </row>
    <row r="52" customFormat="false" ht="15" hidden="false" customHeight="false" outlineLevel="0" collapsed="false">
      <c r="A52" s="16" t="n">
        <v>48</v>
      </c>
      <c r="B52" s="16" t="s">
        <v>56</v>
      </c>
      <c r="C52" s="47" t="n">
        <v>5</v>
      </c>
      <c r="D52" s="47" t="n">
        <v>8</v>
      </c>
      <c r="E52" s="48" t="n">
        <v>5</v>
      </c>
      <c r="F52" s="48" t="n">
        <v>1.5</v>
      </c>
      <c r="G52" s="49"/>
      <c r="H52" s="49"/>
      <c r="I52" s="45"/>
      <c r="J52" s="33"/>
      <c r="K52" s="44" t="s">
        <v>266</v>
      </c>
    </row>
    <row r="53" customFormat="false" ht="15" hidden="false" customHeight="false" outlineLevel="0" collapsed="false">
      <c r="A53" s="16" t="n">
        <v>49</v>
      </c>
      <c r="B53" s="16" t="s">
        <v>56</v>
      </c>
      <c r="C53" s="47" t="n">
        <v>10</v>
      </c>
      <c r="D53" s="47" t="n">
        <v>3</v>
      </c>
      <c r="E53" s="48" t="n">
        <v>3</v>
      </c>
      <c r="F53" s="48" t="n">
        <v>1.2</v>
      </c>
      <c r="G53" s="49"/>
      <c r="H53" s="49"/>
      <c r="I53" s="45"/>
      <c r="J53" s="33"/>
      <c r="K53" s="44" t="s">
        <v>266</v>
      </c>
    </row>
    <row r="54" customFormat="false" ht="15" hidden="false" customHeight="false" outlineLevel="0" collapsed="false">
      <c r="A54" s="16" t="n">
        <v>50</v>
      </c>
      <c r="B54" s="16" t="s">
        <v>56</v>
      </c>
      <c r="C54" s="47" t="n">
        <v>10</v>
      </c>
      <c r="D54" s="47" t="n">
        <v>3</v>
      </c>
      <c r="E54" s="48" t="n">
        <v>3</v>
      </c>
      <c r="F54" s="48" t="n">
        <v>1.5</v>
      </c>
      <c r="G54" s="49"/>
      <c r="H54" s="49"/>
      <c r="I54" s="45"/>
      <c r="J54" s="33"/>
      <c r="K54" s="44" t="s">
        <v>266</v>
      </c>
    </row>
    <row r="55" customFormat="false" ht="15" hidden="false" customHeight="false" outlineLevel="0" collapsed="false">
      <c r="A55" s="16" t="n">
        <v>51</v>
      </c>
      <c r="B55" s="16" t="s">
        <v>56</v>
      </c>
      <c r="C55" s="47" t="n">
        <v>10</v>
      </c>
      <c r="D55" s="47" t="n">
        <v>3</v>
      </c>
      <c r="E55" s="48" t="n">
        <v>5</v>
      </c>
      <c r="F55" s="48" t="n">
        <v>1.2</v>
      </c>
      <c r="G55" s="49"/>
      <c r="H55" s="49"/>
      <c r="I55" s="45"/>
      <c r="J55" s="33"/>
      <c r="K55" s="44" t="s">
        <v>266</v>
      </c>
    </row>
    <row r="56" customFormat="false" ht="15" hidden="false" customHeight="false" outlineLevel="0" collapsed="false">
      <c r="A56" s="16" t="n">
        <v>52</v>
      </c>
      <c r="B56" s="16" t="s">
        <v>56</v>
      </c>
      <c r="C56" s="47" t="n">
        <v>10</v>
      </c>
      <c r="D56" s="47" t="n">
        <v>3</v>
      </c>
      <c r="E56" s="48" t="n">
        <v>5</v>
      </c>
      <c r="F56" s="48" t="n">
        <v>1.5</v>
      </c>
      <c r="G56" s="49"/>
      <c r="H56" s="49"/>
      <c r="I56" s="45"/>
      <c r="J56" s="33"/>
      <c r="K56" s="44" t="s">
        <v>266</v>
      </c>
    </row>
    <row r="57" customFormat="false" ht="15" hidden="false" customHeight="false" outlineLevel="0" collapsed="false">
      <c r="A57" s="16" t="n">
        <v>53</v>
      </c>
      <c r="B57" s="16" t="s">
        <v>56</v>
      </c>
      <c r="C57" s="47" t="n">
        <v>10</v>
      </c>
      <c r="D57" s="47" t="n">
        <v>5</v>
      </c>
      <c r="E57" s="48" t="n">
        <v>3</v>
      </c>
      <c r="F57" s="48" t="n">
        <v>1.2</v>
      </c>
      <c r="G57" s="49"/>
      <c r="H57" s="49"/>
      <c r="I57" s="45"/>
      <c r="J57" s="33"/>
      <c r="K57" s="44" t="s">
        <v>266</v>
      </c>
    </row>
    <row r="58" customFormat="false" ht="15" hidden="false" customHeight="false" outlineLevel="0" collapsed="false">
      <c r="A58" s="16" t="n">
        <v>54</v>
      </c>
      <c r="B58" s="16" t="s">
        <v>56</v>
      </c>
      <c r="C58" s="47" t="n">
        <v>10</v>
      </c>
      <c r="D58" s="47" t="n">
        <v>5</v>
      </c>
      <c r="E58" s="48" t="n">
        <v>3</v>
      </c>
      <c r="F58" s="48" t="n">
        <v>1.5</v>
      </c>
      <c r="G58" s="49"/>
      <c r="H58" s="49"/>
      <c r="I58" s="45"/>
      <c r="J58" s="33"/>
      <c r="K58" s="44" t="s">
        <v>266</v>
      </c>
    </row>
    <row r="59" customFormat="false" ht="15" hidden="false" customHeight="false" outlineLevel="0" collapsed="false">
      <c r="A59" s="16" t="n">
        <v>55</v>
      </c>
      <c r="B59" s="16" t="s">
        <v>56</v>
      </c>
      <c r="C59" s="47" t="n">
        <v>10</v>
      </c>
      <c r="D59" s="47" t="n">
        <v>5</v>
      </c>
      <c r="E59" s="48" t="n">
        <v>5</v>
      </c>
      <c r="F59" s="48" t="n">
        <v>1.2</v>
      </c>
      <c r="G59" s="49"/>
      <c r="H59" s="49"/>
      <c r="I59" s="45"/>
      <c r="J59" s="33"/>
      <c r="K59" s="44" t="s">
        <v>266</v>
      </c>
    </row>
    <row r="60" customFormat="false" ht="15" hidden="false" customHeight="false" outlineLevel="0" collapsed="false">
      <c r="A60" s="16" t="n">
        <v>56</v>
      </c>
      <c r="B60" s="16" t="s">
        <v>56</v>
      </c>
      <c r="C60" s="47" t="n">
        <v>10</v>
      </c>
      <c r="D60" s="47" t="n">
        <v>5</v>
      </c>
      <c r="E60" s="48" t="n">
        <v>5</v>
      </c>
      <c r="F60" s="48" t="n">
        <v>1.5</v>
      </c>
      <c r="G60" s="49" t="s">
        <v>267</v>
      </c>
      <c r="H60" s="49" t="s">
        <v>268</v>
      </c>
      <c r="I60" s="45" t="n">
        <v>97</v>
      </c>
      <c r="J60" s="33" t="n">
        <v>0.0075</v>
      </c>
      <c r="K60" s="46" t="s">
        <v>269</v>
      </c>
    </row>
    <row r="61" customFormat="false" ht="15" hidden="false" customHeight="false" outlineLevel="0" collapsed="false">
      <c r="A61" s="16" t="n">
        <v>57</v>
      </c>
      <c r="B61" s="16" t="s">
        <v>56</v>
      </c>
      <c r="C61" s="47" t="n">
        <v>10</v>
      </c>
      <c r="D61" s="47" t="n">
        <v>8</v>
      </c>
      <c r="E61" s="48" t="n">
        <v>3</v>
      </c>
      <c r="F61" s="48" t="n">
        <v>1.2</v>
      </c>
      <c r="G61" s="49"/>
      <c r="H61" s="49"/>
      <c r="I61" s="45"/>
      <c r="J61" s="33"/>
      <c r="K61" s="44" t="s">
        <v>266</v>
      </c>
    </row>
    <row r="62" customFormat="false" ht="15" hidden="false" customHeight="false" outlineLevel="0" collapsed="false">
      <c r="A62" s="16" t="n">
        <v>58</v>
      </c>
      <c r="B62" s="16" t="s">
        <v>56</v>
      </c>
      <c r="C62" s="47" t="n">
        <v>10</v>
      </c>
      <c r="D62" s="47" t="n">
        <v>8</v>
      </c>
      <c r="E62" s="48" t="n">
        <v>3</v>
      </c>
      <c r="F62" s="48" t="n">
        <v>1.5</v>
      </c>
      <c r="G62" s="49"/>
      <c r="H62" s="49"/>
      <c r="I62" s="45"/>
      <c r="J62" s="33"/>
      <c r="K62" s="44" t="s">
        <v>266</v>
      </c>
    </row>
    <row r="63" customFormat="false" ht="15" hidden="false" customHeight="false" outlineLevel="0" collapsed="false">
      <c r="A63" s="16" t="n">
        <v>59</v>
      </c>
      <c r="B63" s="16" t="s">
        <v>56</v>
      </c>
      <c r="C63" s="47" t="n">
        <v>10</v>
      </c>
      <c r="D63" s="47" t="n">
        <v>8</v>
      </c>
      <c r="E63" s="48" t="n">
        <v>5</v>
      </c>
      <c r="F63" s="48" t="n">
        <v>1.2</v>
      </c>
      <c r="G63" s="49"/>
      <c r="H63" s="49"/>
      <c r="I63" s="45"/>
      <c r="J63" s="33"/>
      <c r="K63" s="44" t="s">
        <v>266</v>
      </c>
    </row>
    <row r="64" customFormat="false" ht="15" hidden="false" customHeight="false" outlineLevel="0" collapsed="false">
      <c r="A64" s="16" t="n">
        <v>60</v>
      </c>
      <c r="B64" s="16" t="s">
        <v>56</v>
      </c>
      <c r="C64" s="47" t="n">
        <v>10</v>
      </c>
      <c r="D64" s="47" t="n">
        <v>8</v>
      </c>
      <c r="E64" s="48" t="n">
        <v>5</v>
      </c>
      <c r="F64" s="48" t="n">
        <v>1.5</v>
      </c>
      <c r="G64" s="49"/>
      <c r="H64" s="49"/>
      <c r="I64" s="45"/>
      <c r="J64" s="33"/>
      <c r="K64" s="44" t="s">
        <v>266</v>
      </c>
    </row>
    <row r="65" customFormat="false" ht="15" hidden="false" customHeight="false" outlineLevel="0" collapsed="false">
      <c r="A65" s="16" t="n">
        <v>61</v>
      </c>
      <c r="B65" s="16" t="s">
        <v>56</v>
      </c>
      <c r="C65" s="47" t="n">
        <v>15</v>
      </c>
      <c r="D65" s="47" t="n">
        <v>3</v>
      </c>
      <c r="E65" s="48" t="n">
        <v>3</v>
      </c>
      <c r="F65" s="48" t="n">
        <v>1.2</v>
      </c>
      <c r="G65" s="49"/>
      <c r="H65" s="49"/>
      <c r="I65" s="45"/>
      <c r="J65" s="33"/>
      <c r="K65" s="44" t="s">
        <v>266</v>
      </c>
    </row>
    <row r="66" customFormat="false" ht="15" hidden="false" customHeight="false" outlineLevel="0" collapsed="false">
      <c r="A66" s="16" t="n">
        <v>62</v>
      </c>
      <c r="B66" s="16" t="s">
        <v>56</v>
      </c>
      <c r="C66" s="47" t="n">
        <v>15</v>
      </c>
      <c r="D66" s="47" t="n">
        <v>3</v>
      </c>
      <c r="E66" s="48" t="n">
        <v>3</v>
      </c>
      <c r="F66" s="48" t="n">
        <v>1.5</v>
      </c>
      <c r="G66" s="49"/>
      <c r="H66" s="49"/>
      <c r="I66" s="45"/>
      <c r="J66" s="33"/>
      <c r="K66" s="44" t="s">
        <v>266</v>
      </c>
    </row>
    <row r="67" customFormat="false" ht="15" hidden="false" customHeight="false" outlineLevel="0" collapsed="false">
      <c r="A67" s="16" t="n">
        <v>63</v>
      </c>
      <c r="B67" s="16" t="s">
        <v>56</v>
      </c>
      <c r="C67" s="47" t="n">
        <v>15</v>
      </c>
      <c r="D67" s="47" t="n">
        <v>3</v>
      </c>
      <c r="E67" s="48" t="n">
        <v>5</v>
      </c>
      <c r="F67" s="48" t="n">
        <v>1.2</v>
      </c>
      <c r="G67" s="49"/>
      <c r="H67" s="49"/>
      <c r="I67" s="45"/>
      <c r="J67" s="33"/>
      <c r="K67" s="44" t="s">
        <v>266</v>
      </c>
    </row>
    <row r="68" customFormat="false" ht="15" hidden="false" customHeight="false" outlineLevel="0" collapsed="false">
      <c r="A68" s="16" t="n">
        <v>64</v>
      </c>
      <c r="B68" s="16" t="s">
        <v>56</v>
      </c>
      <c r="C68" s="47" t="n">
        <v>15</v>
      </c>
      <c r="D68" s="47" t="n">
        <v>3</v>
      </c>
      <c r="E68" s="48" t="n">
        <v>5</v>
      </c>
      <c r="F68" s="48" t="n">
        <v>1.5</v>
      </c>
      <c r="G68" s="49"/>
      <c r="H68" s="49"/>
      <c r="I68" s="45"/>
      <c r="J68" s="33"/>
      <c r="K68" s="44" t="s">
        <v>266</v>
      </c>
    </row>
    <row r="69" customFormat="false" ht="15" hidden="false" customHeight="false" outlineLevel="0" collapsed="false">
      <c r="A69" s="16" t="n">
        <v>65</v>
      </c>
      <c r="B69" s="16" t="s">
        <v>56</v>
      </c>
      <c r="C69" s="47" t="n">
        <v>15</v>
      </c>
      <c r="D69" s="47" t="n">
        <v>5</v>
      </c>
      <c r="E69" s="48" t="n">
        <v>3</v>
      </c>
      <c r="F69" s="48" t="n">
        <v>1.2</v>
      </c>
      <c r="G69" s="49"/>
      <c r="H69" s="49"/>
      <c r="I69" s="45"/>
      <c r="J69" s="33"/>
      <c r="K69" s="44" t="s">
        <v>266</v>
      </c>
    </row>
    <row r="70" customFormat="false" ht="15" hidden="false" customHeight="false" outlineLevel="0" collapsed="false">
      <c r="A70" s="16" t="n">
        <v>66</v>
      </c>
      <c r="B70" s="16" t="s">
        <v>56</v>
      </c>
      <c r="C70" s="47" t="n">
        <v>15</v>
      </c>
      <c r="D70" s="47" t="n">
        <v>5</v>
      </c>
      <c r="E70" s="48" t="n">
        <v>3</v>
      </c>
      <c r="F70" s="48" t="n">
        <v>1.5</v>
      </c>
      <c r="G70" s="49"/>
      <c r="H70" s="49"/>
      <c r="I70" s="45"/>
      <c r="J70" s="33"/>
      <c r="K70" s="44" t="s">
        <v>266</v>
      </c>
    </row>
    <row r="71" customFormat="false" ht="15" hidden="false" customHeight="false" outlineLevel="0" collapsed="false">
      <c r="A71" s="16" t="n">
        <v>67</v>
      </c>
      <c r="B71" s="16" t="s">
        <v>56</v>
      </c>
      <c r="C71" s="47" t="n">
        <v>15</v>
      </c>
      <c r="D71" s="47" t="n">
        <v>5</v>
      </c>
      <c r="E71" s="48" t="n">
        <v>5</v>
      </c>
      <c r="F71" s="48" t="n">
        <v>1.2</v>
      </c>
      <c r="G71" s="49"/>
      <c r="H71" s="49"/>
      <c r="I71" s="45"/>
      <c r="J71" s="33"/>
      <c r="K71" s="44" t="s">
        <v>266</v>
      </c>
    </row>
    <row r="72" customFormat="false" ht="15" hidden="false" customHeight="false" outlineLevel="0" collapsed="false">
      <c r="A72" s="16" t="n">
        <v>68</v>
      </c>
      <c r="B72" s="16" t="s">
        <v>56</v>
      </c>
      <c r="C72" s="47" t="n">
        <v>15</v>
      </c>
      <c r="D72" s="47" t="n">
        <v>5</v>
      </c>
      <c r="E72" s="48" t="n">
        <v>5</v>
      </c>
      <c r="F72" s="48" t="n">
        <v>1.5</v>
      </c>
      <c r="G72" s="49"/>
      <c r="H72" s="49"/>
      <c r="I72" s="45"/>
      <c r="J72" s="33"/>
      <c r="K72" s="44" t="s">
        <v>266</v>
      </c>
    </row>
    <row r="73" customFormat="false" ht="15" hidden="false" customHeight="false" outlineLevel="0" collapsed="false">
      <c r="A73" s="16" t="n">
        <v>69</v>
      </c>
      <c r="B73" s="16" t="s">
        <v>56</v>
      </c>
      <c r="C73" s="47" t="n">
        <v>15</v>
      </c>
      <c r="D73" s="47" t="n">
        <v>8</v>
      </c>
      <c r="E73" s="48" t="n">
        <v>3</v>
      </c>
      <c r="F73" s="48" t="n">
        <v>1.2</v>
      </c>
      <c r="G73" s="49"/>
      <c r="H73" s="49"/>
      <c r="I73" s="45"/>
      <c r="J73" s="33"/>
      <c r="K73" s="44" t="s">
        <v>266</v>
      </c>
    </row>
    <row r="74" customFormat="false" ht="15" hidden="false" customHeight="false" outlineLevel="0" collapsed="false">
      <c r="A74" s="16" t="n">
        <v>70</v>
      </c>
      <c r="B74" s="16" t="s">
        <v>56</v>
      </c>
      <c r="C74" s="47" t="n">
        <v>15</v>
      </c>
      <c r="D74" s="47" t="n">
        <v>8</v>
      </c>
      <c r="E74" s="48" t="n">
        <v>3</v>
      </c>
      <c r="F74" s="48" t="n">
        <v>1.5</v>
      </c>
      <c r="G74" s="49"/>
      <c r="H74" s="49"/>
      <c r="I74" s="45"/>
      <c r="J74" s="33"/>
      <c r="K74" s="44" t="s">
        <v>266</v>
      </c>
    </row>
    <row r="75" customFormat="false" ht="15" hidden="false" customHeight="false" outlineLevel="0" collapsed="false">
      <c r="A75" s="16" t="n">
        <v>71</v>
      </c>
      <c r="B75" s="16" t="s">
        <v>56</v>
      </c>
      <c r="C75" s="47" t="n">
        <v>15</v>
      </c>
      <c r="D75" s="47" t="n">
        <v>8</v>
      </c>
      <c r="E75" s="48" t="n">
        <v>5</v>
      </c>
      <c r="F75" s="48" t="n">
        <v>1.2</v>
      </c>
      <c r="G75" s="49"/>
      <c r="H75" s="49"/>
      <c r="I75" s="45"/>
      <c r="J75" s="33"/>
      <c r="K75" s="44" t="s">
        <v>266</v>
      </c>
    </row>
    <row r="76" customFormat="false" ht="15" hidden="false" customHeight="false" outlineLevel="0" collapsed="false">
      <c r="A76" s="16" t="n">
        <v>72</v>
      </c>
      <c r="B76" s="16" t="s">
        <v>56</v>
      </c>
      <c r="C76" s="47" t="n">
        <v>15</v>
      </c>
      <c r="D76" s="47" t="n">
        <v>8</v>
      </c>
      <c r="E76" s="48" t="n">
        <v>5</v>
      </c>
      <c r="F76" s="48" t="n">
        <v>1.5</v>
      </c>
      <c r="G76" s="49"/>
      <c r="H76" s="49"/>
      <c r="I76" s="45"/>
      <c r="J76" s="33"/>
      <c r="K76" s="44" t="s">
        <v>266</v>
      </c>
    </row>
    <row r="77" customFormat="false" ht="15" hidden="false" customHeight="false" outlineLevel="0" collapsed="false">
      <c r="A77" s="16" t="n">
        <v>73</v>
      </c>
      <c r="B77" s="16" t="s">
        <v>196</v>
      </c>
      <c r="C77" s="47" t="n">
        <v>5</v>
      </c>
      <c r="D77" s="47" t="n">
        <v>3</v>
      </c>
      <c r="E77" s="48" t="n">
        <v>3</v>
      </c>
      <c r="F77" s="48" t="n">
        <v>1.2</v>
      </c>
      <c r="G77" s="49"/>
      <c r="H77" s="49"/>
      <c r="I77" s="45"/>
      <c r="J77" s="33"/>
      <c r="K77" s="44" t="s">
        <v>266</v>
      </c>
    </row>
    <row r="78" customFormat="false" ht="15" hidden="false" customHeight="false" outlineLevel="0" collapsed="false">
      <c r="A78" s="16" t="n">
        <v>74</v>
      </c>
      <c r="B78" s="16" t="s">
        <v>196</v>
      </c>
      <c r="C78" s="47" t="n">
        <v>5</v>
      </c>
      <c r="D78" s="47" t="n">
        <v>3</v>
      </c>
      <c r="E78" s="48" t="n">
        <v>3</v>
      </c>
      <c r="F78" s="48" t="n">
        <v>1.5</v>
      </c>
      <c r="G78" s="49"/>
      <c r="H78" s="49"/>
      <c r="I78" s="45"/>
      <c r="J78" s="33"/>
      <c r="K78" s="44" t="s">
        <v>266</v>
      </c>
    </row>
    <row r="79" customFormat="false" ht="15" hidden="false" customHeight="false" outlineLevel="0" collapsed="false">
      <c r="A79" s="16" t="n">
        <v>75</v>
      </c>
      <c r="B79" s="16" t="s">
        <v>196</v>
      </c>
      <c r="C79" s="47" t="n">
        <v>5</v>
      </c>
      <c r="D79" s="47" t="n">
        <v>3</v>
      </c>
      <c r="E79" s="48" t="n">
        <v>5</v>
      </c>
      <c r="F79" s="48" t="n">
        <v>1.2</v>
      </c>
      <c r="G79" s="49"/>
      <c r="H79" s="49"/>
      <c r="I79" s="45"/>
      <c r="J79" s="33"/>
      <c r="K79" s="44" t="s">
        <v>266</v>
      </c>
    </row>
    <row r="80" customFormat="false" ht="15" hidden="false" customHeight="false" outlineLevel="0" collapsed="false">
      <c r="A80" s="16" t="n">
        <v>76</v>
      </c>
      <c r="B80" s="16" t="s">
        <v>196</v>
      </c>
      <c r="C80" s="47" t="n">
        <v>5</v>
      </c>
      <c r="D80" s="47" t="n">
        <v>3</v>
      </c>
      <c r="E80" s="48" t="n">
        <v>5</v>
      </c>
      <c r="F80" s="48" t="n">
        <v>1.5</v>
      </c>
      <c r="G80" s="49"/>
      <c r="H80" s="49"/>
      <c r="I80" s="45"/>
      <c r="J80" s="33"/>
      <c r="K80" s="44" t="s">
        <v>266</v>
      </c>
    </row>
    <row r="81" customFormat="false" ht="15" hidden="false" customHeight="false" outlineLevel="0" collapsed="false">
      <c r="A81" s="16" t="n">
        <v>77</v>
      </c>
      <c r="B81" s="16" t="s">
        <v>196</v>
      </c>
      <c r="C81" s="47" t="n">
        <v>5</v>
      </c>
      <c r="D81" s="47" t="n">
        <v>5</v>
      </c>
      <c r="E81" s="48" t="n">
        <v>3</v>
      </c>
      <c r="F81" s="48" t="n">
        <v>1.2</v>
      </c>
      <c r="G81" s="49"/>
      <c r="H81" s="49"/>
      <c r="I81" s="45"/>
      <c r="J81" s="33"/>
      <c r="K81" s="44" t="s">
        <v>266</v>
      </c>
    </row>
    <row r="82" customFormat="false" ht="15" hidden="false" customHeight="false" outlineLevel="0" collapsed="false">
      <c r="A82" s="16" t="n">
        <v>78</v>
      </c>
      <c r="B82" s="16" t="s">
        <v>196</v>
      </c>
      <c r="C82" s="47" t="n">
        <v>5</v>
      </c>
      <c r="D82" s="47" t="n">
        <v>5</v>
      </c>
      <c r="E82" s="48" t="n">
        <v>3</v>
      </c>
      <c r="F82" s="48" t="n">
        <v>1.5</v>
      </c>
      <c r="G82" s="49"/>
      <c r="H82" s="49"/>
      <c r="I82" s="45"/>
      <c r="J82" s="33"/>
      <c r="K82" s="44" t="s">
        <v>266</v>
      </c>
    </row>
    <row r="83" customFormat="false" ht="15" hidden="false" customHeight="false" outlineLevel="0" collapsed="false">
      <c r="A83" s="16" t="n">
        <v>79</v>
      </c>
      <c r="B83" s="16" t="s">
        <v>196</v>
      </c>
      <c r="C83" s="47" t="n">
        <v>5</v>
      </c>
      <c r="D83" s="47" t="n">
        <v>5</v>
      </c>
      <c r="E83" s="48" t="n">
        <v>5</v>
      </c>
      <c r="F83" s="48" t="n">
        <v>1.2</v>
      </c>
      <c r="G83" s="49"/>
      <c r="H83" s="49"/>
      <c r="I83" s="45"/>
      <c r="J83" s="33"/>
      <c r="K83" s="44" t="s">
        <v>266</v>
      </c>
    </row>
    <row r="84" customFormat="false" ht="15" hidden="false" customHeight="false" outlineLevel="0" collapsed="false">
      <c r="A84" s="16" t="n">
        <v>80</v>
      </c>
      <c r="B84" s="16" t="s">
        <v>196</v>
      </c>
      <c r="C84" s="47" t="n">
        <v>5</v>
      </c>
      <c r="D84" s="47" t="n">
        <v>5</v>
      </c>
      <c r="E84" s="48" t="n">
        <v>5</v>
      </c>
      <c r="F84" s="48" t="n">
        <v>1.5</v>
      </c>
      <c r="G84" s="49"/>
      <c r="H84" s="49"/>
      <c r="I84" s="45"/>
      <c r="J84" s="33"/>
      <c r="K84" s="44" t="s">
        <v>266</v>
      </c>
    </row>
    <row r="85" customFormat="false" ht="15" hidden="false" customHeight="false" outlineLevel="0" collapsed="false">
      <c r="A85" s="16" t="n">
        <v>81</v>
      </c>
      <c r="B85" s="16" t="s">
        <v>196</v>
      </c>
      <c r="C85" s="47" t="n">
        <v>5</v>
      </c>
      <c r="D85" s="47" t="n">
        <v>8</v>
      </c>
      <c r="E85" s="48" t="n">
        <v>3</v>
      </c>
      <c r="F85" s="48" t="n">
        <v>1.2</v>
      </c>
      <c r="G85" s="49"/>
      <c r="H85" s="49"/>
      <c r="I85" s="45"/>
      <c r="J85" s="33"/>
      <c r="K85" s="44" t="s">
        <v>266</v>
      </c>
    </row>
    <row r="86" customFormat="false" ht="15" hidden="false" customHeight="false" outlineLevel="0" collapsed="false">
      <c r="A86" s="16" t="n">
        <v>82</v>
      </c>
      <c r="B86" s="16" t="s">
        <v>196</v>
      </c>
      <c r="C86" s="47" t="n">
        <v>5</v>
      </c>
      <c r="D86" s="47" t="n">
        <v>8</v>
      </c>
      <c r="E86" s="48" t="n">
        <v>3</v>
      </c>
      <c r="F86" s="48" t="n">
        <v>1.5</v>
      </c>
      <c r="G86" s="49"/>
      <c r="H86" s="49"/>
      <c r="I86" s="45"/>
      <c r="J86" s="33"/>
      <c r="K86" s="44" t="s">
        <v>266</v>
      </c>
    </row>
    <row r="87" customFormat="false" ht="15" hidden="false" customHeight="false" outlineLevel="0" collapsed="false">
      <c r="A87" s="16" t="n">
        <v>83</v>
      </c>
      <c r="B87" s="16" t="s">
        <v>196</v>
      </c>
      <c r="C87" s="47" t="n">
        <v>5</v>
      </c>
      <c r="D87" s="47" t="n">
        <v>8</v>
      </c>
      <c r="E87" s="48" t="n">
        <v>5</v>
      </c>
      <c r="F87" s="48" t="n">
        <v>1.2</v>
      </c>
      <c r="G87" s="49"/>
      <c r="H87" s="49"/>
      <c r="I87" s="45"/>
      <c r="J87" s="33"/>
      <c r="K87" s="44" t="s">
        <v>266</v>
      </c>
    </row>
    <row r="88" customFormat="false" ht="15" hidden="false" customHeight="false" outlineLevel="0" collapsed="false">
      <c r="A88" s="16" t="n">
        <v>84</v>
      </c>
      <c r="B88" s="16" t="s">
        <v>196</v>
      </c>
      <c r="C88" s="47" t="n">
        <v>5</v>
      </c>
      <c r="D88" s="47" t="n">
        <v>8</v>
      </c>
      <c r="E88" s="48" t="n">
        <v>5</v>
      </c>
      <c r="F88" s="48" t="n">
        <v>1.5</v>
      </c>
      <c r="G88" s="49"/>
      <c r="H88" s="49"/>
      <c r="I88" s="45"/>
      <c r="J88" s="33"/>
      <c r="K88" s="44" t="s">
        <v>266</v>
      </c>
    </row>
    <row r="89" customFormat="false" ht="15" hidden="false" customHeight="false" outlineLevel="0" collapsed="false">
      <c r="A89" s="16" t="n">
        <v>85</v>
      </c>
      <c r="B89" s="16" t="s">
        <v>196</v>
      </c>
      <c r="C89" s="47" t="n">
        <v>10</v>
      </c>
      <c r="D89" s="47" t="n">
        <v>3</v>
      </c>
      <c r="E89" s="48" t="n">
        <v>3</v>
      </c>
      <c r="F89" s="48" t="n">
        <v>1.2</v>
      </c>
      <c r="G89" s="49"/>
      <c r="H89" s="49"/>
      <c r="I89" s="45"/>
      <c r="J89" s="33"/>
      <c r="K89" s="44" t="s">
        <v>266</v>
      </c>
    </row>
    <row r="90" customFormat="false" ht="15" hidden="false" customHeight="false" outlineLevel="0" collapsed="false">
      <c r="A90" s="16" t="n">
        <v>86</v>
      </c>
      <c r="B90" s="16" t="s">
        <v>196</v>
      </c>
      <c r="C90" s="47" t="n">
        <v>10</v>
      </c>
      <c r="D90" s="47" t="n">
        <v>3</v>
      </c>
      <c r="E90" s="48" t="n">
        <v>3</v>
      </c>
      <c r="F90" s="48" t="n">
        <v>1.5</v>
      </c>
      <c r="G90" s="49"/>
      <c r="H90" s="49"/>
      <c r="I90" s="45"/>
      <c r="J90" s="33"/>
      <c r="K90" s="44" t="s">
        <v>266</v>
      </c>
    </row>
    <row r="91" customFormat="false" ht="15" hidden="false" customHeight="false" outlineLevel="0" collapsed="false">
      <c r="A91" s="16" t="n">
        <v>87</v>
      </c>
      <c r="B91" s="16" t="s">
        <v>196</v>
      </c>
      <c r="C91" s="47" t="n">
        <v>10</v>
      </c>
      <c r="D91" s="47" t="n">
        <v>3</v>
      </c>
      <c r="E91" s="48" t="n">
        <v>5</v>
      </c>
      <c r="F91" s="48" t="n">
        <v>1.2</v>
      </c>
      <c r="G91" s="49"/>
      <c r="H91" s="49"/>
      <c r="I91" s="45"/>
      <c r="J91" s="33"/>
      <c r="K91" s="44" t="s">
        <v>266</v>
      </c>
    </row>
    <row r="92" customFormat="false" ht="15" hidden="false" customHeight="false" outlineLevel="0" collapsed="false">
      <c r="A92" s="16" t="n">
        <v>88</v>
      </c>
      <c r="B92" s="16" t="s">
        <v>196</v>
      </c>
      <c r="C92" s="47" t="n">
        <v>10</v>
      </c>
      <c r="D92" s="47" t="n">
        <v>3</v>
      </c>
      <c r="E92" s="48" t="n">
        <v>5</v>
      </c>
      <c r="F92" s="48" t="n">
        <v>1.5</v>
      </c>
      <c r="G92" s="49"/>
      <c r="H92" s="49"/>
      <c r="I92" s="45"/>
      <c r="J92" s="33"/>
      <c r="K92" s="44" t="s">
        <v>266</v>
      </c>
    </row>
    <row r="93" customFormat="false" ht="15" hidden="false" customHeight="false" outlineLevel="0" collapsed="false">
      <c r="A93" s="16" t="n">
        <v>89</v>
      </c>
      <c r="B93" s="16" t="s">
        <v>196</v>
      </c>
      <c r="C93" s="47" t="n">
        <v>10</v>
      </c>
      <c r="D93" s="47" t="n">
        <v>5</v>
      </c>
      <c r="E93" s="48" t="n">
        <v>3</v>
      </c>
      <c r="F93" s="48" t="n">
        <v>1.2</v>
      </c>
      <c r="G93" s="49"/>
      <c r="H93" s="49"/>
      <c r="I93" s="45"/>
      <c r="J93" s="33"/>
      <c r="K93" s="44" t="s">
        <v>266</v>
      </c>
    </row>
    <row r="94" customFormat="false" ht="15" hidden="false" customHeight="false" outlineLevel="0" collapsed="false">
      <c r="A94" s="16" t="n">
        <v>90</v>
      </c>
      <c r="B94" s="16" t="s">
        <v>196</v>
      </c>
      <c r="C94" s="47" t="n">
        <v>10</v>
      </c>
      <c r="D94" s="47" t="n">
        <v>5</v>
      </c>
      <c r="E94" s="48" t="n">
        <v>3</v>
      </c>
      <c r="F94" s="48" t="n">
        <v>1.5</v>
      </c>
      <c r="G94" s="49"/>
      <c r="H94" s="49"/>
      <c r="I94" s="45"/>
      <c r="J94" s="33"/>
      <c r="K94" s="44" t="s">
        <v>266</v>
      </c>
    </row>
    <row r="95" customFormat="false" ht="15" hidden="false" customHeight="false" outlineLevel="0" collapsed="false">
      <c r="A95" s="16" t="n">
        <v>91</v>
      </c>
      <c r="B95" s="16" t="s">
        <v>196</v>
      </c>
      <c r="C95" s="47" t="n">
        <v>10</v>
      </c>
      <c r="D95" s="47" t="n">
        <v>5</v>
      </c>
      <c r="E95" s="48" t="n">
        <v>5</v>
      </c>
      <c r="F95" s="48" t="n">
        <v>1.2</v>
      </c>
      <c r="G95" s="49"/>
      <c r="H95" s="49"/>
      <c r="I95" s="45"/>
      <c r="J95" s="33"/>
      <c r="K95" s="44" t="s">
        <v>266</v>
      </c>
    </row>
    <row r="96" customFormat="false" ht="15" hidden="false" customHeight="false" outlineLevel="0" collapsed="false">
      <c r="A96" s="16" t="n">
        <v>92</v>
      </c>
      <c r="B96" s="16" t="s">
        <v>196</v>
      </c>
      <c r="C96" s="47" t="n">
        <v>10</v>
      </c>
      <c r="D96" s="47" t="n">
        <v>5</v>
      </c>
      <c r="E96" s="48" t="n">
        <v>5</v>
      </c>
      <c r="F96" s="48" t="n">
        <v>1.5</v>
      </c>
      <c r="G96" s="49"/>
      <c r="H96" s="49"/>
      <c r="I96" s="45"/>
      <c r="J96" s="33"/>
      <c r="K96" s="44" t="s">
        <v>266</v>
      </c>
    </row>
    <row r="97" customFormat="false" ht="15" hidden="false" customHeight="false" outlineLevel="0" collapsed="false">
      <c r="A97" s="16" t="n">
        <v>93</v>
      </c>
      <c r="B97" s="16" t="s">
        <v>196</v>
      </c>
      <c r="C97" s="47" t="n">
        <v>10</v>
      </c>
      <c r="D97" s="47" t="n">
        <v>8</v>
      </c>
      <c r="E97" s="48" t="n">
        <v>3</v>
      </c>
      <c r="F97" s="48" t="n">
        <v>1.2</v>
      </c>
      <c r="G97" s="49"/>
      <c r="H97" s="49"/>
      <c r="I97" s="45"/>
      <c r="J97" s="33"/>
      <c r="K97" s="44" t="s">
        <v>266</v>
      </c>
    </row>
    <row r="98" customFormat="false" ht="15" hidden="false" customHeight="false" outlineLevel="0" collapsed="false">
      <c r="A98" s="16" t="n">
        <v>94</v>
      </c>
      <c r="B98" s="16" t="s">
        <v>196</v>
      </c>
      <c r="C98" s="47" t="n">
        <v>10</v>
      </c>
      <c r="D98" s="47" t="n">
        <v>8</v>
      </c>
      <c r="E98" s="48" t="n">
        <v>3</v>
      </c>
      <c r="F98" s="48" t="n">
        <v>1.5</v>
      </c>
      <c r="G98" s="49"/>
      <c r="H98" s="49"/>
      <c r="I98" s="45"/>
      <c r="J98" s="33"/>
      <c r="K98" s="44" t="s">
        <v>266</v>
      </c>
    </row>
    <row r="99" customFormat="false" ht="15" hidden="false" customHeight="false" outlineLevel="0" collapsed="false">
      <c r="A99" s="16" t="n">
        <v>95</v>
      </c>
      <c r="B99" s="16" t="s">
        <v>196</v>
      </c>
      <c r="C99" s="47" t="n">
        <v>10</v>
      </c>
      <c r="D99" s="47" t="n">
        <v>8</v>
      </c>
      <c r="E99" s="48" t="n">
        <v>5</v>
      </c>
      <c r="F99" s="48" t="n">
        <v>1.2</v>
      </c>
      <c r="G99" s="49"/>
      <c r="H99" s="49"/>
      <c r="I99" s="45"/>
      <c r="J99" s="33"/>
      <c r="K99" s="44" t="s">
        <v>266</v>
      </c>
    </row>
    <row r="100" customFormat="false" ht="15" hidden="false" customHeight="false" outlineLevel="0" collapsed="false">
      <c r="A100" s="16" t="n">
        <v>96</v>
      </c>
      <c r="B100" s="16" t="s">
        <v>196</v>
      </c>
      <c r="C100" s="47" t="n">
        <v>10</v>
      </c>
      <c r="D100" s="47" t="n">
        <v>8</v>
      </c>
      <c r="E100" s="48" t="n">
        <v>5</v>
      </c>
      <c r="F100" s="48" t="n">
        <v>1.5</v>
      </c>
      <c r="G100" s="49"/>
      <c r="H100" s="49"/>
      <c r="I100" s="45"/>
      <c r="J100" s="33"/>
      <c r="K100" s="44" t="s">
        <v>266</v>
      </c>
    </row>
    <row r="101" customFormat="false" ht="15" hidden="false" customHeight="false" outlineLevel="0" collapsed="false">
      <c r="A101" s="16" t="n">
        <v>97</v>
      </c>
      <c r="B101" s="16" t="s">
        <v>196</v>
      </c>
      <c r="C101" s="47" t="n">
        <v>15</v>
      </c>
      <c r="D101" s="47" t="n">
        <v>3</v>
      </c>
      <c r="E101" s="48" t="n">
        <v>3</v>
      </c>
      <c r="F101" s="48" t="n">
        <v>1.2</v>
      </c>
      <c r="G101" s="49"/>
      <c r="H101" s="49"/>
      <c r="I101" s="45"/>
      <c r="J101" s="33"/>
      <c r="K101" s="44" t="s">
        <v>266</v>
      </c>
    </row>
    <row r="102" customFormat="false" ht="15" hidden="false" customHeight="false" outlineLevel="0" collapsed="false">
      <c r="A102" s="16" t="n">
        <v>98</v>
      </c>
      <c r="B102" s="16" t="s">
        <v>196</v>
      </c>
      <c r="C102" s="47" t="n">
        <v>15</v>
      </c>
      <c r="D102" s="47" t="n">
        <v>3</v>
      </c>
      <c r="E102" s="48" t="n">
        <v>3</v>
      </c>
      <c r="F102" s="48" t="n">
        <v>1.5</v>
      </c>
      <c r="G102" s="49"/>
      <c r="H102" s="49"/>
      <c r="I102" s="45"/>
      <c r="J102" s="33"/>
      <c r="K102" s="44" t="s">
        <v>266</v>
      </c>
    </row>
    <row r="103" customFormat="false" ht="15" hidden="false" customHeight="false" outlineLevel="0" collapsed="false">
      <c r="A103" s="16" t="n">
        <v>99</v>
      </c>
      <c r="B103" s="16" t="s">
        <v>196</v>
      </c>
      <c r="C103" s="47" t="n">
        <v>15</v>
      </c>
      <c r="D103" s="47" t="n">
        <v>3</v>
      </c>
      <c r="E103" s="48" t="n">
        <v>5</v>
      </c>
      <c r="F103" s="48" t="n">
        <v>1.2</v>
      </c>
      <c r="G103" s="49"/>
      <c r="H103" s="49"/>
      <c r="I103" s="45"/>
      <c r="J103" s="33"/>
      <c r="K103" s="44" t="s">
        <v>266</v>
      </c>
    </row>
    <row r="104" customFormat="false" ht="15" hidden="false" customHeight="false" outlineLevel="0" collapsed="false">
      <c r="A104" s="16" t="n">
        <v>100</v>
      </c>
      <c r="B104" s="16" t="s">
        <v>196</v>
      </c>
      <c r="C104" s="47" t="n">
        <v>15</v>
      </c>
      <c r="D104" s="47" t="n">
        <v>3</v>
      </c>
      <c r="E104" s="48" t="n">
        <v>5</v>
      </c>
      <c r="F104" s="48" t="n">
        <v>1.5</v>
      </c>
      <c r="G104" s="49"/>
      <c r="H104" s="49"/>
      <c r="I104" s="45"/>
      <c r="J104" s="33"/>
      <c r="K104" s="44" t="s">
        <v>266</v>
      </c>
    </row>
    <row r="105" customFormat="false" ht="15" hidden="false" customHeight="false" outlineLevel="0" collapsed="false">
      <c r="A105" s="16" t="n">
        <v>101</v>
      </c>
      <c r="B105" s="16" t="s">
        <v>196</v>
      </c>
      <c r="C105" s="47" t="n">
        <v>15</v>
      </c>
      <c r="D105" s="47" t="n">
        <v>5</v>
      </c>
      <c r="E105" s="48" t="n">
        <v>3</v>
      </c>
      <c r="F105" s="48" t="n">
        <v>1.2</v>
      </c>
      <c r="G105" s="49"/>
      <c r="H105" s="49"/>
      <c r="I105" s="45"/>
      <c r="J105" s="33"/>
      <c r="K105" s="44" t="s">
        <v>266</v>
      </c>
    </row>
    <row r="106" customFormat="false" ht="15" hidden="false" customHeight="false" outlineLevel="0" collapsed="false">
      <c r="A106" s="16" t="n">
        <v>102</v>
      </c>
      <c r="B106" s="16" t="s">
        <v>196</v>
      </c>
      <c r="C106" s="47" t="n">
        <v>15</v>
      </c>
      <c r="D106" s="47" t="n">
        <v>5</v>
      </c>
      <c r="E106" s="48" t="n">
        <v>3</v>
      </c>
      <c r="F106" s="48" t="n">
        <v>1.5</v>
      </c>
      <c r="G106" s="49"/>
      <c r="H106" s="49"/>
      <c r="I106" s="45"/>
      <c r="J106" s="33"/>
      <c r="K106" s="44" t="s">
        <v>266</v>
      </c>
    </row>
    <row r="107" customFormat="false" ht="15" hidden="false" customHeight="false" outlineLevel="0" collapsed="false">
      <c r="A107" s="16" t="n">
        <v>103</v>
      </c>
      <c r="B107" s="16" t="s">
        <v>196</v>
      </c>
      <c r="C107" s="47" t="n">
        <v>15</v>
      </c>
      <c r="D107" s="47" t="n">
        <v>5</v>
      </c>
      <c r="E107" s="48" t="n">
        <v>5</v>
      </c>
      <c r="F107" s="48" t="n">
        <v>1.2</v>
      </c>
      <c r="G107" s="49"/>
      <c r="H107" s="49"/>
      <c r="I107" s="45"/>
      <c r="J107" s="33"/>
      <c r="K107" s="44" t="s">
        <v>266</v>
      </c>
    </row>
    <row r="108" customFormat="false" ht="15" hidden="false" customHeight="false" outlineLevel="0" collapsed="false">
      <c r="A108" s="16" t="n">
        <v>104</v>
      </c>
      <c r="B108" s="16" t="s">
        <v>196</v>
      </c>
      <c r="C108" s="47" t="n">
        <v>15</v>
      </c>
      <c r="D108" s="47" t="n">
        <v>5</v>
      </c>
      <c r="E108" s="48" t="n">
        <v>5</v>
      </c>
      <c r="F108" s="48" t="n">
        <v>1.5</v>
      </c>
      <c r="G108" s="49"/>
      <c r="H108" s="49"/>
      <c r="I108" s="45"/>
      <c r="J108" s="33"/>
      <c r="K108" s="44" t="s">
        <v>266</v>
      </c>
    </row>
    <row r="109" customFormat="false" ht="15" hidden="false" customHeight="false" outlineLevel="0" collapsed="false">
      <c r="A109" s="16" t="n">
        <v>105</v>
      </c>
      <c r="B109" s="16" t="s">
        <v>196</v>
      </c>
      <c r="C109" s="47" t="n">
        <v>15</v>
      </c>
      <c r="D109" s="47" t="n">
        <v>8</v>
      </c>
      <c r="E109" s="48" t="n">
        <v>3</v>
      </c>
      <c r="F109" s="48" t="n">
        <v>1.2</v>
      </c>
      <c r="G109" s="49"/>
      <c r="H109" s="49"/>
      <c r="I109" s="45"/>
      <c r="J109" s="33"/>
      <c r="K109" s="44" t="s">
        <v>266</v>
      </c>
    </row>
    <row r="110" customFormat="false" ht="15" hidden="false" customHeight="false" outlineLevel="0" collapsed="false">
      <c r="A110" s="16" t="n">
        <v>106</v>
      </c>
      <c r="B110" s="16" t="s">
        <v>196</v>
      </c>
      <c r="C110" s="47" t="n">
        <v>15</v>
      </c>
      <c r="D110" s="47" t="n">
        <v>8</v>
      </c>
      <c r="E110" s="48" t="n">
        <v>3</v>
      </c>
      <c r="F110" s="48" t="n">
        <v>1.5</v>
      </c>
      <c r="G110" s="49"/>
      <c r="H110" s="49"/>
      <c r="I110" s="45"/>
      <c r="J110" s="33"/>
      <c r="K110" s="44" t="s">
        <v>266</v>
      </c>
    </row>
    <row r="111" customFormat="false" ht="15" hidden="false" customHeight="false" outlineLevel="0" collapsed="false">
      <c r="A111" s="16" t="n">
        <v>107</v>
      </c>
      <c r="B111" s="16" t="s">
        <v>196</v>
      </c>
      <c r="C111" s="47" t="n">
        <v>15</v>
      </c>
      <c r="D111" s="47" t="n">
        <v>8</v>
      </c>
      <c r="E111" s="48" t="n">
        <v>5</v>
      </c>
      <c r="F111" s="48" t="n">
        <v>1.2</v>
      </c>
      <c r="G111" s="49"/>
      <c r="H111" s="49"/>
      <c r="I111" s="45"/>
      <c r="J111" s="33"/>
      <c r="K111" s="44" t="s">
        <v>266</v>
      </c>
    </row>
    <row r="112" customFormat="false" ht="15" hidden="false" customHeight="false" outlineLevel="0" collapsed="false">
      <c r="A112" s="16" t="n">
        <v>108</v>
      </c>
      <c r="B112" s="16" t="s">
        <v>196</v>
      </c>
      <c r="C112" s="47" t="n">
        <v>15</v>
      </c>
      <c r="D112" s="47" t="n">
        <v>8</v>
      </c>
      <c r="E112" s="48" t="n">
        <v>5</v>
      </c>
      <c r="F112" s="48" t="n">
        <v>1.5</v>
      </c>
      <c r="G112" s="49"/>
      <c r="H112" s="49"/>
      <c r="I112" s="45"/>
      <c r="J112" s="33"/>
      <c r="K112" s="44" t="s">
        <v>266</v>
      </c>
    </row>
    <row r="113" customFormat="false" ht="15" hidden="false" customHeight="false" outlineLevel="0" collapsed="false">
      <c r="A113" s="16" t="n">
        <v>109</v>
      </c>
      <c r="B113" s="16" t="s">
        <v>253</v>
      </c>
      <c r="C113" s="47" t="n">
        <v>5</v>
      </c>
      <c r="D113" s="47" t="n">
        <v>3</v>
      </c>
      <c r="E113" s="48" t="n">
        <v>3</v>
      </c>
      <c r="F113" s="48" t="n">
        <v>1.2</v>
      </c>
      <c r="G113" s="49"/>
      <c r="H113" s="49"/>
      <c r="I113" s="45"/>
      <c r="J113" s="33"/>
      <c r="K113" s="44" t="s">
        <v>266</v>
      </c>
    </row>
    <row r="114" customFormat="false" ht="15" hidden="false" customHeight="false" outlineLevel="0" collapsed="false">
      <c r="A114" s="16" t="n">
        <v>110</v>
      </c>
      <c r="B114" s="16" t="s">
        <v>253</v>
      </c>
      <c r="C114" s="47" t="n">
        <v>5</v>
      </c>
      <c r="D114" s="47" t="n">
        <v>3</v>
      </c>
      <c r="E114" s="48" t="n">
        <v>3</v>
      </c>
      <c r="F114" s="48" t="n">
        <v>1.5</v>
      </c>
      <c r="G114" s="49"/>
      <c r="H114" s="49"/>
      <c r="I114" s="45"/>
      <c r="J114" s="33"/>
      <c r="K114" s="44" t="s">
        <v>266</v>
      </c>
    </row>
    <row r="115" customFormat="false" ht="15" hidden="false" customHeight="false" outlineLevel="0" collapsed="false">
      <c r="A115" s="16" t="n">
        <v>111</v>
      </c>
      <c r="B115" s="16" t="s">
        <v>253</v>
      </c>
      <c r="C115" s="47" t="n">
        <v>5</v>
      </c>
      <c r="D115" s="47" t="n">
        <v>3</v>
      </c>
      <c r="E115" s="48" t="n">
        <v>5</v>
      </c>
      <c r="F115" s="48" t="n">
        <v>1.2</v>
      </c>
      <c r="G115" s="49"/>
      <c r="H115" s="49"/>
      <c r="I115" s="45"/>
      <c r="J115" s="33"/>
      <c r="K115" s="44" t="s">
        <v>266</v>
      </c>
    </row>
    <row r="116" customFormat="false" ht="15" hidden="false" customHeight="false" outlineLevel="0" collapsed="false">
      <c r="A116" s="16" t="n">
        <v>112</v>
      </c>
      <c r="B116" s="16" t="s">
        <v>253</v>
      </c>
      <c r="C116" s="47" t="n">
        <v>5</v>
      </c>
      <c r="D116" s="47" t="n">
        <v>3</v>
      </c>
      <c r="E116" s="48" t="n">
        <v>5</v>
      </c>
      <c r="F116" s="48" t="n">
        <v>1.5</v>
      </c>
      <c r="G116" s="49"/>
      <c r="H116" s="49"/>
      <c r="I116" s="45"/>
      <c r="J116" s="33"/>
      <c r="K116" s="44" t="s">
        <v>266</v>
      </c>
    </row>
    <row r="117" customFormat="false" ht="15" hidden="false" customHeight="false" outlineLevel="0" collapsed="false">
      <c r="A117" s="16" t="n">
        <v>113</v>
      </c>
      <c r="B117" s="16" t="s">
        <v>253</v>
      </c>
      <c r="C117" s="47" t="n">
        <v>5</v>
      </c>
      <c r="D117" s="47" t="n">
        <v>5</v>
      </c>
      <c r="E117" s="48" t="n">
        <v>3</v>
      </c>
      <c r="F117" s="48" t="n">
        <v>1.2</v>
      </c>
      <c r="G117" s="49"/>
      <c r="H117" s="49"/>
      <c r="I117" s="45"/>
      <c r="J117" s="33"/>
      <c r="K117" s="44" t="s">
        <v>266</v>
      </c>
    </row>
    <row r="118" customFormat="false" ht="15" hidden="false" customHeight="false" outlineLevel="0" collapsed="false">
      <c r="A118" s="16" t="n">
        <v>114</v>
      </c>
      <c r="B118" s="16" t="s">
        <v>253</v>
      </c>
      <c r="C118" s="47" t="n">
        <v>5</v>
      </c>
      <c r="D118" s="47" t="n">
        <v>5</v>
      </c>
      <c r="E118" s="48" t="n">
        <v>3</v>
      </c>
      <c r="F118" s="48" t="n">
        <v>1.5</v>
      </c>
      <c r="G118" s="49"/>
      <c r="H118" s="49"/>
      <c r="I118" s="45"/>
      <c r="J118" s="33"/>
      <c r="K118" s="44" t="s">
        <v>266</v>
      </c>
    </row>
    <row r="119" customFormat="false" ht="15" hidden="false" customHeight="false" outlineLevel="0" collapsed="false">
      <c r="A119" s="16" t="n">
        <v>115</v>
      </c>
      <c r="B119" s="16" t="s">
        <v>253</v>
      </c>
      <c r="C119" s="47" t="n">
        <v>5</v>
      </c>
      <c r="D119" s="47" t="n">
        <v>5</v>
      </c>
      <c r="E119" s="48" t="n">
        <v>5</v>
      </c>
      <c r="F119" s="48" t="n">
        <v>1.2</v>
      </c>
      <c r="G119" s="49"/>
      <c r="H119" s="49"/>
      <c r="I119" s="45"/>
      <c r="J119" s="33"/>
      <c r="K119" s="44" t="s">
        <v>266</v>
      </c>
    </row>
    <row r="120" customFormat="false" ht="15" hidden="false" customHeight="false" outlineLevel="0" collapsed="false">
      <c r="A120" s="16" t="n">
        <v>116</v>
      </c>
      <c r="B120" s="16" t="s">
        <v>253</v>
      </c>
      <c r="C120" s="47" t="n">
        <v>5</v>
      </c>
      <c r="D120" s="47" t="n">
        <v>5</v>
      </c>
      <c r="E120" s="48" t="n">
        <v>5</v>
      </c>
      <c r="F120" s="48" t="n">
        <v>1.5</v>
      </c>
      <c r="G120" s="49"/>
      <c r="H120" s="49"/>
      <c r="I120" s="45"/>
      <c r="J120" s="33"/>
      <c r="K120" s="44" t="s">
        <v>266</v>
      </c>
    </row>
    <row r="121" customFormat="false" ht="15" hidden="false" customHeight="false" outlineLevel="0" collapsed="false">
      <c r="A121" s="16" t="n">
        <v>117</v>
      </c>
      <c r="B121" s="16" t="s">
        <v>253</v>
      </c>
      <c r="C121" s="47" t="n">
        <v>5</v>
      </c>
      <c r="D121" s="47" t="n">
        <v>8</v>
      </c>
      <c r="E121" s="48" t="n">
        <v>3</v>
      </c>
      <c r="F121" s="48" t="n">
        <v>1.2</v>
      </c>
      <c r="G121" s="49"/>
      <c r="H121" s="49"/>
      <c r="I121" s="45"/>
      <c r="J121" s="33"/>
      <c r="K121" s="44" t="s">
        <v>266</v>
      </c>
    </row>
    <row r="122" customFormat="false" ht="15" hidden="false" customHeight="false" outlineLevel="0" collapsed="false">
      <c r="A122" s="16" t="n">
        <v>118</v>
      </c>
      <c r="B122" s="16" t="s">
        <v>253</v>
      </c>
      <c r="C122" s="47" t="n">
        <v>5</v>
      </c>
      <c r="D122" s="47" t="n">
        <v>8</v>
      </c>
      <c r="E122" s="48" t="n">
        <v>3</v>
      </c>
      <c r="F122" s="48" t="n">
        <v>1.5</v>
      </c>
      <c r="G122" s="49"/>
      <c r="H122" s="49"/>
      <c r="I122" s="45"/>
      <c r="J122" s="33"/>
      <c r="K122" s="44" t="s">
        <v>266</v>
      </c>
    </row>
    <row r="123" customFormat="false" ht="15" hidden="false" customHeight="false" outlineLevel="0" collapsed="false">
      <c r="A123" s="16" t="n">
        <v>119</v>
      </c>
      <c r="B123" s="16" t="s">
        <v>253</v>
      </c>
      <c r="C123" s="47" t="n">
        <v>5</v>
      </c>
      <c r="D123" s="47" t="n">
        <v>8</v>
      </c>
      <c r="E123" s="48" t="n">
        <v>5</v>
      </c>
      <c r="F123" s="48" t="n">
        <v>1.2</v>
      </c>
      <c r="G123" s="49"/>
      <c r="H123" s="49"/>
      <c r="I123" s="45"/>
      <c r="J123" s="33"/>
      <c r="K123" s="44" t="s">
        <v>266</v>
      </c>
    </row>
    <row r="124" customFormat="false" ht="15" hidden="false" customHeight="false" outlineLevel="0" collapsed="false">
      <c r="A124" s="16" t="n">
        <v>120</v>
      </c>
      <c r="B124" s="16" t="s">
        <v>253</v>
      </c>
      <c r="C124" s="47" t="n">
        <v>5</v>
      </c>
      <c r="D124" s="47" t="n">
        <v>8</v>
      </c>
      <c r="E124" s="48" t="n">
        <v>5</v>
      </c>
      <c r="F124" s="48" t="n">
        <v>1.5</v>
      </c>
      <c r="G124" s="49"/>
      <c r="H124" s="49"/>
      <c r="I124" s="45"/>
      <c r="J124" s="33"/>
      <c r="K124" s="44" t="s">
        <v>266</v>
      </c>
    </row>
    <row r="125" customFormat="false" ht="15" hidden="false" customHeight="false" outlineLevel="0" collapsed="false">
      <c r="A125" s="16" t="n">
        <v>121</v>
      </c>
      <c r="B125" s="16" t="s">
        <v>253</v>
      </c>
      <c r="C125" s="47" t="n">
        <v>10</v>
      </c>
      <c r="D125" s="47" t="n">
        <v>3</v>
      </c>
      <c r="E125" s="48" t="n">
        <v>3</v>
      </c>
      <c r="F125" s="48" t="n">
        <v>1.2</v>
      </c>
      <c r="G125" s="49"/>
      <c r="H125" s="49"/>
      <c r="I125" s="45"/>
      <c r="J125" s="33"/>
      <c r="K125" s="44" t="s">
        <v>266</v>
      </c>
    </row>
    <row r="126" customFormat="false" ht="15" hidden="false" customHeight="false" outlineLevel="0" collapsed="false">
      <c r="A126" s="16" t="n">
        <v>122</v>
      </c>
      <c r="B126" s="16" t="s">
        <v>253</v>
      </c>
      <c r="C126" s="47" t="n">
        <v>10</v>
      </c>
      <c r="D126" s="47" t="n">
        <v>3</v>
      </c>
      <c r="E126" s="48" t="n">
        <v>3</v>
      </c>
      <c r="F126" s="48" t="n">
        <v>1.5</v>
      </c>
      <c r="G126" s="49"/>
      <c r="H126" s="49"/>
      <c r="I126" s="45"/>
      <c r="J126" s="33"/>
      <c r="K126" s="44" t="s">
        <v>266</v>
      </c>
    </row>
    <row r="127" customFormat="false" ht="15" hidden="false" customHeight="false" outlineLevel="0" collapsed="false">
      <c r="A127" s="16" t="n">
        <v>123</v>
      </c>
      <c r="B127" s="16" t="s">
        <v>253</v>
      </c>
      <c r="C127" s="47" t="n">
        <v>10</v>
      </c>
      <c r="D127" s="47" t="n">
        <v>3</v>
      </c>
      <c r="E127" s="48" t="n">
        <v>5</v>
      </c>
      <c r="F127" s="48" t="n">
        <v>1.2</v>
      </c>
      <c r="G127" s="49"/>
      <c r="H127" s="49"/>
      <c r="I127" s="45"/>
      <c r="J127" s="33"/>
      <c r="K127" s="44" t="s">
        <v>266</v>
      </c>
    </row>
    <row r="128" customFormat="false" ht="15" hidden="false" customHeight="false" outlineLevel="0" collapsed="false">
      <c r="A128" s="16" t="n">
        <v>124</v>
      </c>
      <c r="B128" s="16" t="s">
        <v>253</v>
      </c>
      <c r="C128" s="47" t="n">
        <v>10</v>
      </c>
      <c r="D128" s="47" t="n">
        <v>3</v>
      </c>
      <c r="E128" s="48" t="n">
        <v>5</v>
      </c>
      <c r="F128" s="48" t="n">
        <v>1.5</v>
      </c>
      <c r="G128" s="49"/>
      <c r="H128" s="49"/>
      <c r="I128" s="45"/>
      <c r="J128" s="33"/>
      <c r="K128" s="44" t="s">
        <v>266</v>
      </c>
    </row>
    <row r="129" customFormat="false" ht="15" hidden="false" customHeight="false" outlineLevel="0" collapsed="false">
      <c r="A129" s="16" t="n">
        <v>125</v>
      </c>
      <c r="B129" s="16" t="s">
        <v>253</v>
      </c>
      <c r="C129" s="47" t="n">
        <v>10</v>
      </c>
      <c r="D129" s="47" t="n">
        <v>5</v>
      </c>
      <c r="E129" s="48" t="n">
        <v>3</v>
      </c>
      <c r="F129" s="48" t="n">
        <v>1.2</v>
      </c>
      <c r="G129" s="49"/>
      <c r="H129" s="49"/>
      <c r="I129" s="45"/>
      <c r="J129" s="33"/>
      <c r="K129" s="44" t="s">
        <v>266</v>
      </c>
    </row>
    <row r="130" customFormat="false" ht="15" hidden="false" customHeight="false" outlineLevel="0" collapsed="false">
      <c r="A130" s="16" t="n">
        <v>126</v>
      </c>
      <c r="B130" s="16" t="s">
        <v>253</v>
      </c>
      <c r="C130" s="47" t="n">
        <v>10</v>
      </c>
      <c r="D130" s="47" t="n">
        <v>5</v>
      </c>
      <c r="E130" s="48" t="n">
        <v>3</v>
      </c>
      <c r="F130" s="48" t="n">
        <v>1.5</v>
      </c>
      <c r="G130" s="49"/>
      <c r="H130" s="49"/>
      <c r="I130" s="45"/>
      <c r="J130" s="33"/>
      <c r="K130" s="44" t="s">
        <v>266</v>
      </c>
    </row>
    <row r="131" customFormat="false" ht="15" hidden="false" customHeight="false" outlineLevel="0" collapsed="false">
      <c r="A131" s="16" t="n">
        <v>127</v>
      </c>
      <c r="B131" s="16" t="s">
        <v>253</v>
      </c>
      <c r="C131" s="47" t="n">
        <v>10</v>
      </c>
      <c r="D131" s="47" t="n">
        <v>5</v>
      </c>
      <c r="E131" s="48" t="n">
        <v>5</v>
      </c>
      <c r="F131" s="48" t="n">
        <v>1.2</v>
      </c>
      <c r="G131" s="49"/>
      <c r="H131" s="49"/>
      <c r="I131" s="45"/>
      <c r="J131" s="33"/>
      <c r="K131" s="44" t="s">
        <v>266</v>
      </c>
    </row>
    <row r="132" customFormat="false" ht="15" hidden="false" customHeight="false" outlineLevel="0" collapsed="false">
      <c r="A132" s="16" t="n">
        <v>128</v>
      </c>
      <c r="B132" s="16" t="s">
        <v>253</v>
      </c>
      <c r="C132" s="47" t="n">
        <v>10</v>
      </c>
      <c r="D132" s="47" t="n">
        <v>5</v>
      </c>
      <c r="E132" s="48" t="n">
        <v>5</v>
      </c>
      <c r="F132" s="48" t="n">
        <v>1.5</v>
      </c>
      <c r="G132" s="49"/>
      <c r="H132" s="49"/>
      <c r="I132" s="45"/>
      <c r="J132" s="33"/>
      <c r="K132" s="44" t="s">
        <v>266</v>
      </c>
    </row>
    <row r="133" customFormat="false" ht="15" hidden="false" customHeight="false" outlineLevel="0" collapsed="false">
      <c r="A133" s="16" t="n">
        <v>129</v>
      </c>
      <c r="B133" s="16" t="s">
        <v>253</v>
      </c>
      <c r="C133" s="47" t="n">
        <v>10</v>
      </c>
      <c r="D133" s="47" t="n">
        <v>8</v>
      </c>
      <c r="E133" s="48" t="n">
        <v>3</v>
      </c>
      <c r="F133" s="48" t="n">
        <v>1.2</v>
      </c>
      <c r="G133" s="49"/>
      <c r="H133" s="49"/>
      <c r="I133" s="45"/>
      <c r="J133" s="33"/>
      <c r="K133" s="44" t="s">
        <v>266</v>
      </c>
    </row>
    <row r="134" customFormat="false" ht="15" hidden="false" customHeight="false" outlineLevel="0" collapsed="false">
      <c r="A134" s="16" t="n">
        <v>130</v>
      </c>
      <c r="B134" s="16" t="s">
        <v>253</v>
      </c>
      <c r="C134" s="47" t="n">
        <v>10</v>
      </c>
      <c r="D134" s="47" t="n">
        <v>8</v>
      </c>
      <c r="E134" s="48" t="n">
        <v>3</v>
      </c>
      <c r="F134" s="48" t="n">
        <v>1.5</v>
      </c>
      <c r="G134" s="49"/>
      <c r="H134" s="49"/>
      <c r="I134" s="45"/>
      <c r="J134" s="33"/>
      <c r="K134" s="44" t="s">
        <v>266</v>
      </c>
    </row>
    <row r="135" customFormat="false" ht="15" hidden="false" customHeight="false" outlineLevel="0" collapsed="false">
      <c r="A135" s="16" t="n">
        <v>131</v>
      </c>
      <c r="B135" s="16" t="s">
        <v>253</v>
      </c>
      <c r="C135" s="47" t="n">
        <v>10</v>
      </c>
      <c r="D135" s="47" t="n">
        <v>8</v>
      </c>
      <c r="E135" s="48" t="n">
        <v>5</v>
      </c>
      <c r="F135" s="48" t="n">
        <v>1.2</v>
      </c>
      <c r="G135" s="49"/>
      <c r="H135" s="49"/>
      <c r="I135" s="45"/>
      <c r="J135" s="33"/>
      <c r="K135" s="44" t="s">
        <v>266</v>
      </c>
    </row>
    <row r="136" customFormat="false" ht="15" hidden="false" customHeight="false" outlineLevel="0" collapsed="false">
      <c r="A136" s="16" t="n">
        <v>132</v>
      </c>
      <c r="B136" s="16" t="s">
        <v>253</v>
      </c>
      <c r="C136" s="47" t="n">
        <v>10</v>
      </c>
      <c r="D136" s="47" t="n">
        <v>8</v>
      </c>
      <c r="E136" s="48" t="n">
        <v>5</v>
      </c>
      <c r="F136" s="48" t="n">
        <v>1.5</v>
      </c>
      <c r="G136" s="49"/>
      <c r="H136" s="49"/>
      <c r="I136" s="45"/>
      <c r="J136" s="33"/>
      <c r="K136" s="44" t="s">
        <v>266</v>
      </c>
    </row>
    <row r="137" customFormat="false" ht="15" hidden="false" customHeight="false" outlineLevel="0" collapsed="false">
      <c r="A137" s="16" t="n">
        <v>133</v>
      </c>
      <c r="B137" s="16" t="s">
        <v>253</v>
      </c>
      <c r="C137" s="47" t="n">
        <v>15</v>
      </c>
      <c r="D137" s="47" t="n">
        <v>3</v>
      </c>
      <c r="E137" s="48" t="n">
        <v>3</v>
      </c>
      <c r="F137" s="48" t="n">
        <v>1.2</v>
      </c>
      <c r="G137" s="49"/>
      <c r="H137" s="49"/>
      <c r="I137" s="45"/>
      <c r="J137" s="33"/>
      <c r="K137" s="44" t="s">
        <v>266</v>
      </c>
    </row>
    <row r="138" customFormat="false" ht="15" hidden="false" customHeight="false" outlineLevel="0" collapsed="false">
      <c r="A138" s="16" t="n">
        <v>134</v>
      </c>
      <c r="B138" s="16" t="s">
        <v>253</v>
      </c>
      <c r="C138" s="47" t="n">
        <v>15</v>
      </c>
      <c r="D138" s="47" t="n">
        <v>3</v>
      </c>
      <c r="E138" s="48" t="n">
        <v>3</v>
      </c>
      <c r="F138" s="48" t="n">
        <v>1.5</v>
      </c>
      <c r="G138" s="49"/>
      <c r="H138" s="49"/>
      <c r="I138" s="45"/>
      <c r="J138" s="33"/>
      <c r="K138" s="44" t="s">
        <v>266</v>
      </c>
    </row>
    <row r="139" customFormat="false" ht="15" hidden="false" customHeight="false" outlineLevel="0" collapsed="false">
      <c r="A139" s="16" t="n">
        <v>135</v>
      </c>
      <c r="B139" s="16" t="s">
        <v>253</v>
      </c>
      <c r="C139" s="47" t="n">
        <v>15</v>
      </c>
      <c r="D139" s="47" t="n">
        <v>3</v>
      </c>
      <c r="E139" s="48" t="n">
        <v>5</v>
      </c>
      <c r="F139" s="48" t="n">
        <v>1.2</v>
      </c>
      <c r="G139" s="49"/>
      <c r="H139" s="49"/>
      <c r="I139" s="45"/>
      <c r="J139" s="33"/>
      <c r="K139" s="44" t="s">
        <v>266</v>
      </c>
    </row>
    <row r="140" customFormat="false" ht="15" hidden="false" customHeight="false" outlineLevel="0" collapsed="false">
      <c r="A140" s="16" t="n">
        <v>136</v>
      </c>
      <c r="B140" s="16" t="s">
        <v>253</v>
      </c>
      <c r="C140" s="47" t="n">
        <v>15</v>
      </c>
      <c r="D140" s="47" t="n">
        <v>3</v>
      </c>
      <c r="E140" s="48" t="n">
        <v>5</v>
      </c>
      <c r="F140" s="48" t="n">
        <v>1.5</v>
      </c>
      <c r="G140" s="49"/>
      <c r="H140" s="49"/>
      <c r="I140" s="45"/>
      <c r="J140" s="33"/>
      <c r="K140" s="44" t="s">
        <v>266</v>
      </c>
    </row>
    <row r="141" customFormat="false" ht="15" hidden="false" customHeight="false" outlineLevel="0" collapsed="false">
      <c r="A141" s="16" t="n">
        <v>137</v>
      </c>
      <c r="B141" s="16" t="s">
        <v>253</v>
      </c>
      <c r="C141" s="47" t="n">
        <v>15</v>
      </c>
      <c r="D141" s="47" t="n">
        <v>5</v>
      </c>
      <c r="E141" s="48" t="n">
        <v>3</v>
      </c>
      <c r="F141" s="48" t="n">
        <v>1.2</v>
      </c>
      <c r="G141" s="49"/>
      <c r="H141" s="49"/>
      <c r="I141" s="45"/>
      <c r="J141" s="33"/>
      <c r="K141" s="44" t="s">
        <v>266</v>
      </c>
    </row>
    <row r="142" customFormat="false" ht="15" hidden="false" customHeight="false" outlineLevel="0" collapsed="false">
      <c r="A142" s="16" t="n">
        <v>138</v>
      </c>
      <c r="B142" s="16" t="s">
        <v>253</v>
      </c>
      <c r="C142" s="47" t="n">
        <v>15</v>
      </c>
      <c r="D142" s="47" t="n">
        <v>5</v>
      </c>
      <c r="E142" s="48" t="n">
        <v>3</v>
      </c>
      <c r="F142" s="48" t="n">
        <v>1.5</v>
      </c>
      <c r="G142" s="49"/>
      <c r="H142" s="49"/>
      <c r="I142" s="45"/>
      <c r="J142" s="33"/>
      <c r="K142" s="44" t="s">
        <v>266</v>
      </c>
    </row>
    <row r="143" customFormat="false" ht="15" hidden="false" customHeight="false" outlineLevel="0" collapsed="false">
      <c r="A143" s="16" t="n">
        <v>139</v>
      </c>
      <c r="B143" s="16" t="s">
        <v>253</v>
      </c>
      <c r="C143" s="47" t="n">
        <v>15</v>
      </c>
      <c r="D143" s="47" t="n">
        <v>5</v>
      </c>
      <c r="E143" s="48" t="n">
        <v>5</v>
      </c>
      <c r="F143" s="48" t="n">
        <v>1.2</v>
      </c>
      <c r="G143" s="49"/>
      <c r="H143" s="49"/>
      <c r="I143" s="45"/>
      <c r="J143" s="33"/>
      <c r="K143" s="44" t="s">
        <v>266</v>
      </c>
    </row>
    <row r="144" customFormat="false" ht="15" hidden="false" customHeight="false" outlineLevel="0" collapsed="false">
      <c r="A144" s="16" t="n">
        <v>140</v>
      </c>
      <c r="B144" s="16" t="s">
        <v>253</v>
      </c>
      <c r="C144" s="47" t="n">
        <v>15</v>
      </c>
      <c r="D144" s="47" t="n">
        <v>5</v>
      </c>
      <c r="E144" s="48" t="n">
        <v>5</v>
      </c>
      <c r="F144" s="48" t="n">
        <v>1.5</v>
      </c>
      <c r="G144" s="49"/>
      <c r="H144" s="49"/>
      <c r="I144" s="45"/>
      <c r="J144" s="33"/>
      <c r="K144" s="44" t="s">
        <v>266</v>
      </c>
    </row>
    <row r="145" customFormat="false" ht="15" hidden="false" customHeight="false" outlineLevel="0" collapsed="false">
      <c r="A145" s="16" t="n">
        <v>141</v>
      </c>
      <c r="B145" s="16" t="s">
        <v>253</v>
      </c>
      <c r="C145" s="47" t="n">
        <v>15</v>
      </c>
      <c r="D145" s="47" t="n">
        <v>8</v>
      </c>
      <c r="E145" s="48" t="n">
        <v>3</v>
      </c>
      <c r="F145" s="48" t="n">
        <v>1.2</v>
      </c>
      <c r="G145" s="49"/>
      <c r="H145" s="49"/>
      <c r="I145" s="45"/>
      <c r="J145" s="33"/>
      <c r="K145" s="44" t="s">
        <v>266</v>
      </c>
    </row>
    <row r="146" customFormat="false" ht="15" hidden="false" customHeight="false" outlineLevel="0" collapsed="false">
      <c r="A146" s="16" t="n">
        <v>142</v>
      </c>
      <c r="B146" s="16" t="s">
        <v>253</v>
      </c>
      <c r="C146" s="47" t="n">
        <v>15</v>
      </c>
      <c r="D146" s="47" t="n">
        <v>8</v>
      </c>
      <c r="E146" s="48" t="n">
        <v>3</v>
      </c>
      <c r="F146" s="48" t="n">
        <v>1.5</v>
      </c>
      <c r="G146" s="49"/>
      <c r="H146" s="49"/>
      <c r="I146" s="45"/>
      <c r="J146" s="33"/>
      <c r="K146" s="44" t="s">
        <v>266</v>
      </c>
    </row>
    <row r="147" customFormat="false" ht="15" hidden="false" customHeight="false" outlineLevel="0" collapsed="false">
      <c r="A147" s="16" t="n">
        <v>143</v>
      </c>
      <c r="B147" s="16" t="s">
        <v>253</v>
      </c>
      <c r="C147" s="47" t="n">
        <v>15</v>
      </c>
      <c r="D147" s="47" t="n">
        <v>8</v>
      </c>
      <c r="E147" s="48" t="n">
        <v>5</v>
      </c>
      <c r="F147" s="48" t="n">
        <v>1.2</v>
      </c>
      <c r="G147" s="49"/>
      <c r="H147" s="49"/>
      <c r="I147" s="45"/>
      <c r="J147" s="33"/>
      <c r="K147" s="44" t="s">
        <v>266</v>
      </c>
    </row>
    <row r="148" customFormat="false" ht="15" hidden="false" customHeight="false" outlineLevel="0" collapsed="false">
      <c r="A148" s="16" t="n">
        <v>144</v>
      </c>
      <c r="B148" s="16" t="s">
        <v>253</v>
      </c>
      <c r="C148" s="47" t="n">
        <v>15</v>
      </c>
      <c r="D148" s="47" t="n">
        <v>8</v>
      </c>
      <c r="E148" s="48" t="n">
        <v>5</v>
      </c>
      <c r="F148" s="48" t="n">
        <v>1.5</v>
      </c>
      <c r="G148" s="49"/>
      <c r="H148" s="49"/>
      <c r="I148" s="45"/>
      <c r="J148" s="33"/>
      <c r="K148" s="44" t="s">
        <v>266</v>
      </c>
    </row>
    <row r="150" customFormat="false" ht="15" hidden="false" customHeight="false" outlineLevel="0" collapsed="false">
      <c r="A150" s="0" t="s">
        <v>270</v>
      </c>
      <c r="B150" s="0" t="n">
        <v>56</v>
      </c>
    </row>
    <row r="151" customFormat="false" ht="15" hidden="false" customHeight="false" outlineLevel="0" collapsed="false">
      <c r="A151" s="0" t="s">
        <v>271</v>
      </c>
      <c r="B151" s="0" t="n">
        <f aca="false">COUNTA(A5:A148)</f>
        <v>144</v>
      </c>
    </row>
    <row r="152" customFormat="false" ht="15" hidden="false" customHeight="false" outlineLevel="0" collapsed="false">
      <c r="A152" s="0" t="s">
        <v>272</v>
      </c>
      <c r="B152" s="0" t="n">
        <f aca="false">COUNTIF(K5:K148,"measured default")</f>
        <v>1</v>
      </c>
    </row>
    <row r="153" customFormat="false" ht="15" hidden="false" customHeight="false" outlineLevel="0" collapsed="false">
      <c r="A153" s="0" t="s">
        <v>273</v>
      </c>
      <c r="B153" s="0" t="n">
        <f aca="false">COUNTIF(K5:K148,"scanned — no published delta")</f>
        <v>143</v>
      </c>
    </row>
  </sheetData>
  <autoFilter ref="A4:K148"/>
  <mergeCells count="1">
    <mergeCell ref="A2:J2"/>
  </mergeCell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&amp;LKnob sweep&amp;RClayten Fields — squeeze study — 2026-09-30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23A2B"/>
    <pageSetUpPr fitToPage="true"/>
  </sheetPr>
  <dimension ref="A1:J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20"/>
    <col collapsed="false" customWidth="true" hidden="false" outlineLevel="0" max="4" min="4" style="0" width="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8" min="8" style="0" width="24"/>
    <col collapsed="false" customWidth="true" hidden="false" outlineLevel="0" max="9" min="9" style="0" width="22"/>
    <col collapsed="false" customWidth="true" hidden="false" outlineLevel="0" max="10" min="10" style="0" width="12"/>
  </cols>
  <sheetData>
    <row r="1" customFormat="false" ht="15" hidden="false" customHeight="false" outlineLevel="0" collapsed="false">
      <c r="A1" s="12" t="s">
        <v>274</v>
      </c>
    </row>
    <row r="2" customFormat="false" ht="15" hidden="false" customHeight="false" outlineLevel="0" collapsed="false">
      <c r="A2" s="2" t="s">
        <v>275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5" hidden="false" customHeight="false" outlineLevel="0" collapsed="false">
      <c r="A4" s="3" t="s">
        <v>249</v>
      </c>
      <c r="B4" s="3" t="s">
        <v>215</v>
      </c>
      <c r="C4" s="3" t="s">
        <v>276</v>
      </c>
      <c r="D4" s="3" t="s">
        <v>147</v>
      </c>
      <c r="E4" s="3" t="s">
        <v>277</v>
      </c>
      <c r="F4" s="3" t="s">
        <v>278</v>
      </c>
      <c r="G4" s="3" t="s">
        <v>279</v>
      </c>
      <c r="H4" s="3" t="s">
        <v>280</v>
      </c>
      <c r="I4" s="3" t="s">
        <v>281</v>
      </c>
      <c r="J4" s="3" t="s">
        <v>20</v>
      </c>
    </row>
    <row r="5" customFormat="false" ht="15" hidden="false" customHeight="false" outlineLevel="0" collapsed="false">
      <c r="A5" s="8" t="s">
        <v>250</v>
      </c>
      <c r="B5" s="8" t="s">
        <v>282</v>
      </c>
      <c r="C5" s="50" t="n">
        <v>0.1</v>
      </c>
      <c r="D5" s="13"/>
      <c r="E5" s="13"/>
      <c r="F5" s="13"/>
      <c r="G5" s="13"/>
      <c r="H5" s="13"/>
      <c r="I5" s="13"/>
      <c r="J5" s="11" t="s">
        <v>252</v>
      </c>
    </row>
    <row r="6" customFormat="false" ht="15" hidden="false" customHeight="false" outlineLevel="0" collapsed="false">
      <c r="A6" s="8" t="s">
        <v>250</v>
      </c>
      <c r="B6" s="8" t="s">
        <v>282</v>
      </c>
      <c r="C6" s="50" t="n">
        <v>0.15</v>
      </c>
      <c r="D6" s="13"/>
      <c r="E6" s="13"/>
      <c r="F6" s="13"/>
      <c r="G6" s="13"/>
      <c r="H6" s="13"/>
      <c r="I6" s="13"/>
      <c r="J6" s="11" t="s">
        <v>252</v>
      </c>
    </row>
    <row r="7" customFormat="false" ht="15" hidden="false" customHeight="false" outlineLevel="0" collapsed="false">
      <c r="A7" s="8" t="s">
        <v>250</v>
      </c>
      <c r="B7" s="8" t="s">
        <v>282</v>
      </c>
      <c r="C7" s="50" t="n">
        <v>0.2</v>
      </c>
      <c r="D7" s="13"/>
      <c r="E7" s="13"/>
      <c r="F7" s="13"/>
      <c r="G7" s="13"/>
      <c r="H7" s="13"/>
      <c r="I7" s="13"/>
      <c r="J7" s="11" t="s">
        <v>252</v>
      </c>
    </row>
    <row r="8" customFormat="false" ht="15" hidden="false" customHeight="false" outlineLevel="0" collapsed="false">
      <c r="A8" s="8" t="s">
        <v>250</v>
      </c>
      <c r="B8" s="8" t="s">
        <v>283</v>
      </c>
      <c r="C8" s="50" t="n">
        <v>0.1</v>
      </c>
      <c r="D8" s="13"/>
      <c r="E8" s="13"/>
      <c r="F8" s="13"/>
      <c r="G8" s="13"/>
      <c r="H8" s="13"/>
      <c r="I8" s="13"/>
      <c r="J8" s="11" t="s">
        <v>252</v>
      </c>
    </row>
    <row r="9" customFormat="false" ht="15" hidden="false" customHeight="false" outlineLevel="0" collapsed="false">
      <c r="A9" s="8" t="s">
        <v>250</v>
      </c>
      <c r="B9" s="8" t="s">
        <v>283</v>
      </c>
      <c r="C9" s="50" t="n">
        <v>0.15</v>
      </c>
      <c r="D9" s="13"/>
      <c r="E9" s="13"/>
      <c r="F9" s="13"/>
      <c r="G9" s="13"/>
      <c r="H9" s="13"/>
      <c r="I9" s="13"/>
      <c r="J9" s="11" t="s">
        <v>252</v>
      </c>
    </row>
    <row r="10" customFormat="false" ht="15" hidden="false" customHeight="false" outlineLevel="0" collapsed="false">
      <c r="A10" s="8" t="s">
        <v>250</v>
      </c>
      <c r="B10" s="8" t="s">
        <v>283</v>
      </c>
      <c r="C10" s="50" t="n">
        <v>0.2</v>
      </c>
      <c r="D10" s="13"/>
      <c r="E10" s="13"/>
      <c r="F10" s="13"/>
      <c r="G10" s="13"/>
      <c r="H10" s="13"/>
      <c r="I10" s="13"/>
      <c r="J10" s="11" t="s">
        <v>252</v>
      </c>
    </row>
    <row r="11" customFormat="false" ht="15" hidden="false" customHeight="false" outlineLevel="0" collapsed="false">
      <c r="A11" s="8" t="s">
        <v>254</v>
      </c>
      <c r="B11" s="8" t="s">
        <v>282</v>
      </c>
      <c r="C11" s="50" t="n">
        <v>0.1</v>
      </c>
      <c r="D11" s="13"/>
      <c r="E11" s="13"/>
      <c r="F11" s="13"/>
      <c r="G11" s="13"/>
      <c r="H11" s="13"/>
      <c r="I11" s="13"/>
      <c r="J11" s="11" t="s">
        <v>252</v>
      </c>
    </row>
    <row r="12" customFormat="false" ht="15" hidden="false" customHeight="false" outlineLevel="0" collapsed="false">
      <c r="A12" s="8" t="s">
        <v>254</v>
      </c>
      <c r="B12" s="8" t="s">
        <v>282</v>
      </c>
      <c r="C12" s="50" t="n">
        <v>0.15</v>
      </c>
      <c r="D12" s="13"/>
      <c r="E12" s="13"/>
      <c r="F12" s="13"/>
      <c r="G12" s="13"/>
      <c r="H12" s="13"/>
      <c r="I12" s="13"/>
      <c r="J12" s="11" t="s">
        <v>252</v>
      </c>
    </row>
    <row r="13" customFormat="false" ht="15" hidden="false" customHeight="false" outlineLevel="0" collapsed="false">
      <c r="A13" s="8" t="s">
        <v>254</v>
      </c>
      <c r="B13" s="8" t="s">
        <v>282</v>
      </c>
      <c r="C13" s="50" t="n">
        <v>0.2</v>
      </c>
      <c r="D13" s="13"/>
      <c r="E13" s="13"/>
      <c r="F13" s="13"/>
      <c r="G13" s="13"/>
      <c r="H13" s="13"/>
      <c r="I13" s="13"/>
      <c r="J13" s="11" t="s">
        <v>252</v>
      </c>
    </row>
    <row r="14" customFormat="false" ht="15" hidden="false" customHeight="false" outlineLevel="0" collapsed="false">
      <c r="A14" s="8" t="s">
        <v>254</v>
      </c>
      <c r="B14" s="8" t="s">
        <v>283</v>
      </c>
      <c r="C14" s="50" t="n">
        <v>0.1</v>
      </c>
      <c r="D14" s="13"/>
      <c r="E14" s="13"/>
      <c r="F14" s="13"/>
      <c r="G14" s="13"/>
      <c r="H14" s="13"/>
      <c r="I14" s="13"/>
      <c r="J14" s="11" t="s">
        <v>252</v>
      </c>
    </row>
    <row r="15" customFormat="false" ht="15" hidden="false" customHeight="false" outlineLevel="0" collapsed="false">
      <c r="A15" s="8" t="s">
        <v>254</v>
      </c>
      <c r="B15" s="8" t="s">
        <v>283</v>
      </c>
      <c r="C15" s="50" t="n">
        <v>0.15</v>
      </c>
      <c r="D15" s="13"/>
      <c r="E15" s="13"/>
      <c r="F15" s="13"/>
      <c r="G15" s="13"/>
      <c r="H15" s="13"/>
      <c r="I15" s="13"/>
      <c r="J15" s="11" t="s">
        <v>252</v>
      </c>
    </row>
    <row r="16" customFormat="false" ht="15" hidden="false" customHeight="false" outlineLevel="0" collapsed="false">
      <c r="A16" s="8" t="s">
        <v>254</v>
      </c>
      <c r="B16" s="8" t="s">
        <v>283</v>
      </c>
      <c r="C16" s="50" t="n">
        <v>0.2</v>
      </c>
      <c r="D16" s="13"/>
      <c r="E16" s="13"/>
      <c r="F16" s="13"/>
      <c r="G16" s="13"/>
      <c r="H16" s="13"/>
      <c r="I16" s="13"/>
      <c r="J16" s="11" t="s">
        <v>252</v>
      </c>
    </row>
    <row r="17" customFormat="false" ht="15" hidden="false" customHeight="false" outlineLevel="0" collapsed="false">
      <c r="A17" s="8" t="s">
        <v>284</v>
      </c>
      <c r="B17" s="8" t="s">
        <v>282</v>
      </c>
      <c r="C17" s="50" t="n">
        <v>0.1</v>
      </c>
      <c r="D17" s="13"/>
      <c r="E17" s="13"/>
      <c r="F17" s="13"/>
      <c r="G17" s="13"/>
      <c r="H17" s="13"/>
      <c r="I17" s="13"/>
      <c r="J17" s="11" t="s">
        <v>252</v>
      </c>
    </row>
    <row r="18" customFormat="false" ht="15" hidden="false" customHeight="false" outlineLevel="0" collapsed="false">
      <c r="A18" s="8" t="s">
        <v>284</v>
      </c>
      <c r="B18" s="8" t="s">
        <v>282</v>
      </c>
      <c r="C18" s="50" t="n">
        <v>0.15</v>
      </c>
      <c r="D18" s="13"/>
      <c r="E18" s="13"/>
      <c r="F18" s="13"/>
      <c r="G18" s="13"/>
      <c r="H18" s="13"/>
      <c r="I18" s="13"/>
      <c r="J18" s="11" t="s">
        <v>252</v>
      </c>
    </row>
    <row r="19" customFormat="false" ht="15" hidden="false" customHeight="false" outlineLevel="0" collapsed="false">
      <c r="A19" s="8" t="s">
        <v>284</v>
      </c>
      <c r="B19" s="8" t="s">
        <v>282</v>
      </c>
      <c r="C19" s="50" t="n">
        <v>0.2</v>
      </c>
      <c r="D19" s="13"/>
      <c r="E19" s="13"/>
      <c r="F19" s="13"/>
      <c r="G19" s="13"/>
      <c r="H19" s="13"/>
      <c r="I19" s="13"/>
      <c r="J19" s="11" t="s">
        <v>252</v>
      </c>
    </row>
    <row r="20" customFormat="false" ht="15" hidden="false" customHeight="false" outlineLevel="0" collapsed="false">
      <c r="A20" s="8" t="s">
        <v>284</v>
      </c>
      <c r="B20" s="8" t="s">
        <v>283</v>
      </c>
      <c r="C20" s="50" t="n">
        <v>0.1</v>
      </c>
      <c r="D20" s="13"/>
      <c r="E20" s="13"/>
      <c r="F20" s="13"/>
      <c r="G20" s="13"/>
      <c r="H20" s="13"/>
      <c r="I20" s="13"/>
      <c r="J20" s="11" t="s">
        <v>252</v>
      </c>
    </row>
    <row r="21" customFormat="false" ht="15" hidden="false" customHeight="false" outlineLevel="0" collapsed="false">
      <c r="A21" s="8" t="s">
        <v>284</v>
      </c>
      <c r="B21" s="8" t="s">
        <v>283</v>
      </c>
      <c r="C21" s="50" t="n">
        <v>0.15</v>
      </c>
      <c r="D21" s="13"/>
      <c r="E21" s="13"/>
      <c r="F21" s="13"/>
      <c r="G21" s="13"/>
      <c r="H21" s="13"/>
      <c r="I21" s="13"/>
      <c r="J21" s="11" t="s">
        <v>252</v>
      </c>
    </row>
    <row r="22" customFormat="false" ht="15" hidden="false" customHeight="false" outlineLevel="0" collapsed="false">
      <c r="A22" s="8" t="s">
        <v>284</v>
      </c>
      <c r="B22" s="8" t="s">
        <v>283</v>
      </c>
      <c r="C22" s="50" t="n">
        <v>0.2</v>
      </c>
      <c r="D22" s="13"/>
      <c r="E22" s="13"/>
      <c r="F22" s="13"/>
      <c r="G22" s="13"/>
      <c r="H22" s="13"/>
      <c r="I22" s="13"/>
      <c r="J22" s="11" t="s">
        <v>252</v>
      </c>
    </row>
    <row r="23" customFormat="false" ht="15" hidden="false" customHeight="false" outlineLevel="0" collapsed="false">
      <c r="A23" s="8" t="s">
        <v>285</v>
      </c>
      <c r="B23" s="8" t="s">
        <v>282</v>
      </c>
      <c r="C23" s="50" t="n">
        <v>0.1</v>
      </c>
      <c r="D23" s="13"/>
      <c r="E23" s="13"/>
      <c r="F23" s="13"/>
      <c r="G23" s="13"/>
      <c r="H23" s="13"/>
      <c r="I23" s="13"/>
      <c r="J23" s="11" t="s">
        <v>252</v>
      </c>
    </row>
    <row r="24" customFormat="false" ht="15" hidden="false" customHeight="false" outlineLevel="0" collapsed="false">
      <c r="A24" s="8" t="s">
        <v>285</v>
      </c>
      <c r="B24" s="8" t="s">
        <v>282</v>
      </c>
      <c r="C24" s="50" t="n">
        <v>0.15</v>
      </c>
      <c r="D24" s="13"/>
      <c r="E24" s="13"/>
      <c r="F24" s="13"/>
      <c r="G24" s="13"/>
      <c r="H24" s="13"/>
      <c r="I24" s="13"/>
      <c r="J24" s="11" t="s">
        <v>252</v>
      </c>
    </row>
    <row r="25" customFormat="false" ht="15" hidden="false" customHeight="false" outlineLevel="0" collapsed="false">
      <c r="A25" s="8" t="s">
        <v>285</v>
      </c>
      <c r="B25" s="8" t="s">
        <v>282</v>
      </c>
      <c r="C25" s="50" t="n">
        <v>0.2</v>
      </c>
      <c r="D25" s="13"/>
      <c r="E25" s="13"/>
      <c r="F25" s="13"/>
      <c r="G25" s="13"/>
      <c r="H25" s="13"/>
      <c r="I25" s="13"/>
      <c r="J25" s="11" t="s">
        <v>252</v>
      </c>
    </row>
    <row r="26" customFormat="false" ht="15" hidden="false" customHeight="false" outlineLevel="0" collapsed="false">
      <c r="A26" s="8" t="s">
        <v>285</v>
      </c>
      <c r="B26" s="8" t="s">
        <v>283</v>
      </c>
      <c r="C26" s="50" t="n">
        <v>0.1</v>
      </c>
      <c r="D26" s="13"/>
      <c r="E26" s="13"/>
      <c r="F26" s="13"/>
      <c r="G26" s="13"/>
      <c r="H26" s="13"/>
      <c r="I26" s="13"/>
      <c r="J26" s="11" t="s">
        <v>252</v>
      </c>
    </row>
    <row r="27" customFormat="false" ht="15" hidden="false" customHeight="false" outlineLevel="0" collapsed="false">
      <c r="A27" s="8" t="s">
        <v>285</v>
      </c>
      <c r="B27" s="8" t="s">
        <v>283</v>
      </c>
      <c r="C27" s="50" t="n">
        <v>0.15</v>
      </c>
      <c r="D27" s="13"/>
      <c r="E27" s="13"/>
      <c r="F27" s="13"/>
      <c r="G27" s="13"/>
      <c r="H27" s="13"/>
      <c r="I27" s="13"/>
      <c r="J27" s="11" t="s">
        <v>252</v>
      </c>
    </row>
    <row r="28" customFormat="false" ht="15" hidden="false" customHeight="false" outlineLevel="0" collapsed="false">
      <c r="A28" s="8" t="s">
        <v>285</v>
      </c>
      <c r="B28" s="8" t="s">
        <v>283</v>
      </c>
      <c r="C28" s="50" t="n">
        <v>0.2</v>
      </c>
      <c r="D28" s="13"/>
      <c r="E28" s="13"/>
      <c r="F28" s="13"/>
      <c r="G28" s="13"/>
      <c r="H28" s="13"/>
      <c r="I28" s="13"/>
      <c r="J28" s="11" t="s">
        <v>252</v>
      </c>
    </row>
    <row r="30" customFormat="false" ht="39.75" hidden="false" customHeight="true" outlineLevel="0" collapsed="false">
      <c r="A30" s="51" t="s">
        <v>286</v>
      </c>
      <c r="B30" s="51"/>
      <c r="C30" s="51"/>
      <c r="D30" s="51"/>
      <c r="E30" s="51"/>
      <c r="F30" s="51"/>
      <c r="G30" s="51"/>
      <c r="H30" s="51"/>
      <c r="I30" s="51"/>
      <c r="J30" s="51"/>
    </row>
  </sheetData>
  <autoFilter ref="A4:J28"/>
  <mergeCells count="2">
    <mergeCell ref="A2:J2"/>
    <mergeCell ref="A30:J30"/>
  </mergeCell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&amp;LExtension stub&amp;RClayten Fields — squeeze study — 2026-09-30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202B"/>
    <pageSetUpPr fitToPage="tru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6"/>
    <col collapsed="false" customWidth="true" hidden="false" outlineLevel="0" max="4" min="4" style="0" width="18"/>
    <col collapsed="false" customWidth="true" hidden="false" outlineLevel="0" max="5" min="5" style="0" width="10"/>
    <col collapsed="false" customWidth="true" hidden="false" outlineLevel="0" max="6" min="6" style="0" width="48"/>
    <col collapsed="false" customWidth="true" hidden="false" outlineLevel="0" max="7" min="7" style="0" width="42"/>
  </cols>
  <sheetData>
    <row r="1" customFormat="false" ht="15" hidden="false" customHeight="false" outlineLevel="0" collapsed="false">
      <c r="A1" s="12" t="s">
        <v>287</v>
      </c>
    </row>
    <row r="2" customFormat="false" ht="15" hidden="false" customHeight="false" outlineLevel="0" collapsed="false">
      <c r="A2" s="2" t="s">
        <v>288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3" t="s">
        <v>249</v>
      </c>
      <c r="B4" s="3" t="s">
        <v>289</v>
      </c>
      <c r="C4" s="3" t="s">
        <v>290</v>
      </c>
      <c r="D4" s="3" t="s">
        <v>291</v>
      </c>
      <c r="E4" s="3" t="s">
        <v>292</v>
      </c>
      <c r="F4" s="3" t="s">
        <v>293</v>
      </c>
      <c r="G4" s="3" t="s">
        <v>294</v>
      </c>
    </row>
    <row r="5" customFormat="false" ht="15" hidden="false" customHeight="false" outlineLevel="0" collapsed="false">
      <c r="A5" s="8" t="s">
        <v>250</v>
      </c>
      <c r="B5" s="8" t="s">
        <v>295</v>
      </c>
      <c r="C5" s="9" t="s">
        <v>296</v>
      </c>
      <c r="D5" s="9" t="s">
        <v>296</v>
      </c>
      <c r="E5" s="8" t="n">
        <v>1</v>
      </c>
      <c r="F5" s="8" t="s">
        <v>297</v>
      </c>
      <c r="G5" s="8" t="s">
        <v>298</v>
      </c>
    </row>
    <row r="6" customFormat="false" ht="15" hidden="false" customHeight="false" outlineLevel="0" collapsed="false">
      <c r="A6" s="8" t="s">
        <v>254</v>
      </c>
      <c r="B6" s="8" t="s">
        <v>295</v>
      </c>
      <c r="C6" s="9" t="s">
        <v>296</v>
      </c>
      <c r="D6" s="9" t="s">
        <v>296</v>
      </c>
      <c r="E6" s="8" t="n">
        <v>2</v>
      </c>
      <c r="F6" s="8" t="s">
        <v>299</v>
      </c>
      <c r="G6" s="8" t="s">
        <v>300</v>
      </c>
    </row>
    <row r="7" customFormat="false" ht="15" hidden="false" customHeight="false" outlineLevel="0" collapsed="false">
      <c r="A7" s="8" t="s">
        <v>285</v>
      </c>
      <c r="B7" s="8" t="s">
        <v>295</v>
      </c>
      <c r="C7" s="11" t="s">
        <v>252</v>
      </c>
      <c r="D7" s="11" t="s">
        <v>252</v>
      </c>
      <c r="E7" s="8" t="n">
        <v>1</v>
      </c>
      <c r="F7" s="8" t="s">
        <v>301</v>
      </c>
      <c r="G7" s="8" t="s">
        <v>302</v>
      </c>
    </row>
    <row r="8" customFormat="false" ht="15" hidden="false" customHeight="false" outlineLevel="0" collapsed="false">
      <c r="A8" s="8" t="s">
        <v>284</v>
      </c>
      <c r="B8" s="8" t="s">
        <v>295</v>
      </c>
      <c r="C8" s="11" t="s">
        <v>252</v>
      </c>
      <c r="D8" s="11" t="s">
        <v>252</v>
      </c>
      <c r="E8" s="8" t="n">
        <v>1</v>
      </c>
      <c r="F8" s="8" t="s">
        <v>303</v>
      </c>
      <c r="G8" s="8" t="s">
        <v>304</v>
      </c>
    </row>
    <row r="9" customFormat="false" ht="15" hidden="false" customHeight="false" outlineLevel="0" collapsed="false">
      <c r="A9" s="8" t="s">
        <v>305</v>
      </c>
      <c r="B9" s="8" t="s">
        <v>295</v>
      </c>
      <c r="C9" s="11" t="s">
        <v>252</v>
      </c>
      <c r="D9" s="11" t="s">
        <v>252</v>
      </c>
      <c r="E9" s="8" t="n">
        <v>2</v>
      </c>
      <c r="F9" s="8" t="s">
        <v>306</v>
      </c>
      <c r="G9" s="8"/>
    </row>
    <row r="10" customFormat="false" ht="15" hidden="false" customHeight="false" outlineLevel="0" collapsed="false">
      <c r="A10" s="8" t="s">
        <v>307</v>
      </c>
      <c r="B10" s="8" t="s">
        <v>295</v>
      </c>
      <c r="C10" s="11" t="s">
        <v>252</v>
      </c>
      <c r="D10" s="11" t="s">
        <v>252</v>
      </c>
      <c r="E10" s="8" t="n">
        <v>3</v>
      </c>
      <c r="F10" s="8" t="s">
        <v>308</v>
      </c>
      <c r="G10" s="8"/>
    </row>
    <row r="11" customFormat="false" ht="15" hidden="false" customHeight="false" outlineLevel="0" collapsed="false">
      <c r="A11" s="8" t="s">
        <v>309</v>
      </c>
      <c r="B11" s="8" t="s">
        <v>295</v>
      </c>
      <c r="C11" s="11" t="s">
        <v>252</v>
      </c>
      <c r="D11" s="11" t="s">
        <v>252</v>
      </c>
      <c r="E11" s="8" t="n">
        <v>3</v>
      </c>
      <c r="F11" s="8" t="s">
        <v>308</v>
      </c>
      <c r="G11" s="8"/>
    </row>
    <row r="12" customFormat="false" ht="15" hidden="false" customHeight="false" outlineLevel="0" collapsed="false">
      <c r="A12" s="8" t="s">
        <v>310</v>
      </c>
      <c r="B12" s="8" t="s">
        <v>295</v>
      </c>
      <c r="C12" s="11" t="s">
        <v>252</v>
      </c>
      <c r="D12" s="11" t="s">
        <v>252</v>
      </c>
      <c r="E12" s="8" t="n">
        <v>3</v>
      </c>
      <c r="F12" s="8" t="s">
        <v>308</v>
      </c>
      <c r="G12" s="8"/>
    </row>
    <row r="13" customFormat="false" ht="15" hidden="false" customHeight="false" outlineLevel="0" collapsed="false">
      <c r="A13" s="8" t="s">
        <v>311</v>
      </c>
      <c r="B13" s="8" t="s">
        <v>295</v>
      </c>
      <c r="C13" s="11" t="s">
        <v>252</v>
      </c>
      <c r="D13" s="11" t="s">
        <v>252</v>
      </c>
      <c r="E13" s="8" t="n">
        <v>4</v>
      </c>
      <c r="F13" s="8" t="s">
        <v>308</v>
      </c>
      <c r="G13" s="8"/>
    </row>
    <row r="14" customFormat="false" ht="15" hidden="false" customHeight="false" outlineLevel="0" collapsed="false">
      <c r="A14" s="8" t="s">
        <v>312</v>
      </c>
      <c r="B14" s="8" t="s">
        <v>295</v>
      </c>
      <c r="C14" s="11" t="s">
        <v>252</v>
      </c>
      <c r="D14" s="11" t="s">
        <v>252</v>
      </c>
      <c r="E14" s="8" t="n">
        <v>4</v>
      </c>
      <c r="F14" s="8" t="s">
        <v>308</v>
      </c>
      <c r="G14" s="8"/>
    </row>
    <row r="15" customFormat="false" ht="15" hidden="false" customHeight="false" outlineLevel="0" collapsed="false">
      <c r="A15" s="8" t="s">
        <v>313</v>
      </c>
      <c r="B15" s="8" t="s">
        <v>295</v>
      </c>
      <c r="C15" s="11" t="s">
        <v>252</v>
      </c>
      <c r="D15" s="11" t="s">
        <v>252</v>
      </c>
      <c r="E15" s="8" t="n">
        <v>4</v>
      </c>
      <c r="F15" s="8" t="s">
        <v>308</v>
      </c>
      <c r="G15" s="8"/>
    </row>
    <row r="16" customFormat="false" ht="15" hidden="false" customHeight="false" outlineLevel="0" collapsed="false">
      <c r="A16" s="8" t="s">
        <v>314</v>
      </c>
      <c r="B16" s="8" t="s">
        <v>295</v>
      </c>
      <c r="C16" s="11" t="s">
        <v>252</v>
      </c>
      <c r="D16" s="11" t="s">
        <v>252</v>
      </c>
      <c r="E16" s="8" t="n">
        <v>5</v>
      </c>
      <c r="F16" s="8" t="s">
        <v>308</v>
      </c>
      <c r="G16" s="8"/>
    </row>
    <row r="17" customFormat="false" ht="15" hidden="false" customHeight="false" outlineLevel="0" collapsed="false">
      <c r="A17" s="8" t="s">
        <v>315</v>
      </c>
      <c r="B17" s="8" t="s">
        <v>295</v>
      </c>
      <c r="C17" s="11" t="s">
        <v>252</v>
      </c>
      <c r="D17" s="11" t="s">
        <v>252</v>
      </c>
      <c r="E17" s="8" t="n">
        <v>5</v>
      </c>
      <c r="F17" s="8" t="s">
        <v>308</v>
      </c>
      <c r="G17" s="8"/>
    </row>
    <row r="18" customFormat="false" ht="15" hidden="false" customHeight="false" outlineLevel="0" collapsed="false">
      <c r="A18" s="8" t="s">
        <v>316</v>
      </c>
      <c r="B18" s="8" t="s">
        <v>295</v>
      </c>
      <c r="C18" s="11" t="s">
        <v>252</v>
      </c>
      <c r="D18" s="11" t="s">
        <v>252</v>
      </c>
      <c r="E18" s="8" t="n">
        <v>5</v>
      </c>
      <c r="F18" s="8" t="s">
        <v>317</v>
      </c>
      <c r="G18" s="8"/>
    </row>
    <row r="19" customFormat="false" ht="15" hidden="false" customHeight="false" outlineLevel="0" collapsed="false">
      <c r="A19" s="8" t="s">
        <v>318</v>
      </c>
      <c r="B19" s="8" t="s">
        <v>295</v>
      </c>
      <c r="C19" s="11" t="s">
        <v>252</v>
      </c>
      <c r="D19" s="11" t="s">
        <v>252</v>
      </c>
      <c r="E19" s="8" t="n">
        <v>5</v>
      </c>
      <c r="F19" s="8" t="s">
        <v>308</v>
      </c>
      <c r="G19" s="8"/>
    </row>
    <row r="20" customFormat="false" ht="15" hidden="false" customHeight="false" outlineLevel="0" collapsed="false">
      <c r="A20" s="8" t="s">
        <v>319</v>
      </c>
      <c r="B20" s="8" t="s">
        <v>295</v>
      </c>
      <c r="C20" s="11" t="s">
        <v>252</v>
      </c>
      <c r="D20" s="11" t="s">
        <v>252</v>
      </c>
      <c r="E20" s="8" t="n">
        <v>5</v>
      </c>
      <c r="F20" s="8" t="s">
        <v>308</v>
      </c>
      <c r="G20" s="8"/>
    </row>
    <row r="22" customFormat="false" ht="15" hidden="false" customHeight="false" outlineLevel="0" collapsed="false">
      <c r="A22" s="0" t="s">
        <v>320</v>
      </c>
      <c r="B22" s="31" t="n">
        <f aca="false">COUNTIF(C5:C20,"done")</f>
        <v>2</v>
      </c>
    </row>
    <row r="23" customFormat="false" ht="15" hidden="false" customHeight="false" outlineLevel="0" collapsed="false">
      <c r="A23" s="0" t="s">
        <v>321</v>
      </c>
      <c r="B23" s="31" t="n">
        <f aca="false">COUNTIF(C5:C20,"not run")</f>
        <v>14</v>
      </c>
    </row>
  </sheetData>
  <autoFilter ref="A4:G20"/>
  <mergeCells count="1">
    <mergeCell ref="A2:G2"/>
  </mergeCell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&amp;LCoin queue&amp;RClayten Fields — squeeze study — 2026-09-30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2026-09-30T22:42:47Z</dcterms:created>
  <dc:creator>openpyxl</dc:creator>
  <dc:description/>
  <dc:language>en-US</dc:language>
  <cp:lastModifiedBy/>
  <dcterms:modified xsi:type="dcterms:W3CDTF">2026-09-30T22:42:55Z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